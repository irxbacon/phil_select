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6.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F:\Documents\Scouting\Itinerary Selection_Duty Roster\2025\"/>
    </mc:Choice>
  </mc:AlternateContent>
  <xr:revisionPtr revIDLastSave="0" documentId="13_ncr:1_{FE3ADEAA-728C-417C-B082-42AC14D21F7D}" xr6:coauthVersionLast="47" xr6:coauthVersionMax="47" xr10:uidLastSave="{00000000-0000-0000-0000-000000000000}"/>
  <bookViews>
    <workbookView xWindow="-120" yWindow="-120" windowWidth="29040" windowHeight="15720" tabRatio="709" xr2:uid="{00000000-000D-0000-FFFF-FFFF00000000}"/>
  </bookViews>
  <sheets>
    <sheet name="Instructions" sheetId="9" r:id="rId1"/>
    <sheet name="Preferences" sheetId="8" r:id="rId2"/>
    <sheet name="Scores" sheetId="4" r:id="rId3"/>
    <sheet name="Results" sheetId="2" r:id="rId4"/>
    <sheet name="Itinerary Chart" sheetId="16" r:id="rId5"/>
    <sheet name="Program Chart" sheetId="6" r:id="rId6"/>
    <sheet name="Itinerary Details" sheetId="18" r:id="rId7"/>
    <sheet name="Itinerary Xref Chart" sheetId="15" r:id="rId8"/>
    <sheet name="Tables" sheetId="5" r:id="rId9"/>
    <sheet name="Detail Informaton" sheetId="14" r:id="rId10"/>
    <sheet name="itineraryCamps" sheetId="21" state="hidden" r:id="rId11"/>
    <sheet name="ItineraryPrograms" sheetId="20" state="hidden" r:id="rId12"/>
    <sheet name="Descriptions" sheetId="12" state="hidden" r:id="rId13"/>
    <sheet name="Calculator" sheetId="3" state="hidden" r:id="rId14"/>
    <sheet name="Itineraries" sheetId="1" state="hidden" r:id="rId15"/>
    <sheet name="Programs" sheetId="19" state="hidden" r:id="rId16"/>
    <sheet name="Camp Programs" sheetId="13" state="hidden" r:id="rId17"/>
    <sheet name="Camp Elevations" sheetId="10" state="hidden" r:id="rId18"/>
  </sheets>
  <functionGroups builtInGroupCount="19"/>
  <definedNames>
    <definedName name="activityValues">Results!$H:$J</definedName>
    <definedName name="altitudeChange">Preferences!$F$9</definedName>
    <definedName name="altitudeDaily">Preferences!$F$10</definedName>
    <definedName name="altitudeMax">Preferences!$F$8</definedName>
    <definedName name="areaDefaults">Tables!$J$63:$J$66</definedName>
    <definedName name="areaImportant">Preferences!$B$4</definedName>
    <definedName name="baldyMountainHike">itineraryCamps!$AE$4:$AE$27</definedName>
    <definedName name="calcFactors">Tables!$B$3:$P$150</definedName>
    <definedName name="calculatedScores">Tables!$M$3:$P$56</definedName>
    <definedName name="Camp_Country">'Camp Elevations'!$C$2:$C$170</definedName>
    <definedName name="campInfo">'Camp Elevations'!$B$2:$M$170</definedName>
    <definedName name="campLocation">'Camp Elevations'!$B$2:$M$170</definedName>
    <definedName name="campMap">'Camp Elevations'!$M$2:$M$170</definedName>
    <definedName name="camps">'Camp Elevations'!$B$2:$B$170</definedName>
    <definedName name="campsByItinerary">itineraryCamps!$E$4:$N$27</definedName>
    <definedName name="campType">Tables!$C$148:$D$151</definedName>
    <definedName name="classification">itineraryCamps!$C$4:$C$27</definedName>
    <definedName name="climbBaldy">Preferences!$B$32</definedName>
    <definedName name="climbInspirationPoint">Preferences!$B$35</definedName>
    <definedName name="climbOthers">Preferences!$B$37</definedName>
    <definedName name="climbPhillips">Preferences!$B$33</definedName>
    <definedName name="climbTooth">Preferences!$B$34</definedName>
    <definedName name="climbTrail">Preferences!$B$36</definedName>
    <definedName name="Commissary">'Camp Elevations'!$G$2:$G$170</definedName>
    <definedName name="country">Itineraries!$P$2:$S$28</definedName>
    <definedName name="countryRanks">Preferences!$B$7:$B$10</definedName>
    <definedName name="crews_2010___UPDATE" localSheetId="16" hidden="1">'Camp Programs'!#REF!</definedName>
    <definedName name="descriptions">Descriptions!$C$2:$C$25</definedName>
    <definedName name="difficultDelta">Tables!$J$111</definedName>
    <definedName name="difficultyCode">Tables!$C$144:$C$147</definedName>
    <definedName name="difficultyTable">Tables!$C$144:$D$147</definedName>
    <definedName name="distance">itineraryCamps!$D$4:$D$27</definedName>
    <definedName name="Dry">'Camp Elevations'!$K$2:$K$170</definedName>
    <definedName name="dryCamps">itineraryCamps!$BX$4:$CG$27</definedName>
    <definedName name="Easting">'Camp Elevations'!$D$2:$D$170</definedName>
    <definedName name="Elevations">'Camp Elevations'!$F$2:$F$170</definedName>
    <definedName name="endingTA">itineraryCamps!$Z$4:$Z$27</definedName>
    <definedName name="foodPickups">itineraryCamps!$O$4:$X$27</definedName>
    <definedName name="foodPUdays">itineraryCamps!$DM$4:$DM$27</definedName>
    <definedName name="foodPUfirst">itineraryCamps!$DL$4:$DL$27</definedName>
    <definedName name="graphData">'Itinerary Details'!$X$15:$AH$25</definedName>
    <definedName name="hiddenstuff" localSheetId="6">'Itinerary Details'!$M$1:$AA$30</definedName>
    <definedName name="hikeIn">Preferences!$B$23</definedName>
    <definedName name="hikeOut">Preferences!$B$28</definedName>
    <definedName name="iAltitudes">Itineraries!$I$3:$L$28</definedName>
    <definedName name="iCentral">Itineraries!$Q$3:$Q$28</definedName>
    <definedName name="iDailyChange">Itineraries!$L$3:$L$28</definedName>
    <definedName name="iDaysFood">Itineraries!$C$3:$C$28</definedName>
    <definedName name="iDryCamps">Itineraries!$H$3:$H$28</definedName>
    <definedName name="iFoodFromHQ">Itineraries!$B$3:$B$28</definedName>
    <definedName name="iLayovers">Itineraries!$F$3:$F$28</definedName>
    <definedName name="iMaxAltitude">Itineraries!$J$3:$J$28</definedName>
    <definedName name="iNorth">Itineraries!$R$3:$R$28</definedName>
    <definedName name="inspirationPointHike">itineraryCamps!$AF$4:$AF$27</definedName>
    <definedName name="instructionsHeading">Instructions!$C$1</definedName>
    <definedName name="iSouth">Itineraries!$P$3:$P$28</definedName>
    <definedName name="iStaffCamps">Itineraries!$D$3:$D$28</definedName>
    <definedName name="itinAltitudes">itineraryCamps!$AK$4:$AT$27</definedName>
    <definedName name="itinCampsiteLabel">'Itinerary Details'!$E$15</definedName>
    <definedName name="itineraryCamps">'Itinerary Details'!$AB$16:$AB$24</definedName>
    <definedName name="itineraryChallenging">Preferences!$G$23</definedName>
    <definedName name="itineraryCountry">itineraryCamps!$CR$4:$DA$27</definedName>
    <definedName name="itineraryCrossing">itineraryCamps!$AB$4:$AD$15</definedName>
    <definedName name="itineraryDry">itineraryCamps!$BX$4:$CG$27</definedName>
    <definedName name="itineraryLabels">ItineraryPrograms!$C$2:$BF$2</definedName>
    <definedName name="itineraryLayover">itineraryCamps!$CH$4:$CQ$27</definedName>
    <definedName name="itineraryMaps">itineraryCamps!$DB$4:$DK$27</definedName>
    <definedName name="itineraryMessage">'Itinerary Details'!$D$2</definedName>
    <definedName name="itineraryNoPrefix">Calculator!$B$35</definedName>
    <definedName name="itineraryNumber">'Itinerary Details'!$C$2</definedName>
    <definedName name="itineraryNumbers">Itineraries!$A$3:$A$28</definedName>
    <definedName name="itineraryPrograms">ItineraryPrograms!$C$3:$BF$26</definedName>
    <definedName name="itineraryResult">Results!$A$4:$A$15</definedName>
    <definedName name="itineraryRugged">Preferences!$G$24</definedName>
    <definedName name="itineraryStaff">itineraryCamps!$BD$4:$BM$27</definedName>
    <definedName name="itineraryStrenuous">Preferences!$G$25</definedName>
    <definedName name="itinerarySuperStrenuous">Preferences!$G$26</definedName>
    <definedName name="itineraryTrail">itineraryCamps!$BN$4:$BW$27</definedName>
    <definedName name="itineraryValues" localSheetId="11">ItineraryPrograms!$C$3:$BF$26</definedName>
    <definedName name="itineraryXref">Results!$K$3:$P$3</definedName>
    <definedName name="itinExpeditionNo" localSheetId="6">'Itinerary Details'!$C$3</definedName>
    <definedName name="itotalCamps">Itineraries!$G$3:$G$28</definedName>
    <definedName name="iTrailCamps">Itineraries!$E$3:$E$28</definedName>
    <definedName name="iValleVidal">Itineraries!$S$3:$S$28</definedName>
    <definedName name="maxAlt">'Itinerary Details'!$AD$27</definedName>
    <definedName name="maxChg">'Itinerary Details'!$AF$27</definedName>
    <definedName name="maxDifficult">Tables!$J$110</definedName>
    <definedName name="maxSkill">Tables!$J$109</definedName>
    <definedName name="meanMedian">Tables!$F$1</definedName>
    <definedName name="mileageFactor">Tables!$D$143</definedName>
    <definedName name="minAlt">'Itinerary Details'!$AD$25</definedName>
    <definedName name="minChg">'Itinerary Details'!$AF$25</definedName>
    <definedName name="minMaxScore">Results!$D$19:$D$20</definedName>
    <definedName name="minMaxValue">Results!$H$60:$H$61</definedName>
    <definedName name="mountaineeringHike">itineraryCamps!$AH$4:$AH$27</definedName>
    <definedName name="mountPhillipsHike">itineraryCamps!$AG$4:$AG$27</definedName>
    <definedName name="nCamps">Itineraries!$D$3:$H$28</definedName>
    <definedName name="nCampsByCountry">Calculator!$U$3:$X$26</definedName>
    <definedName name="nDays">Calculator!$B$33</definedName>
    <definedName name="nItineraries">Calculator!$B$34</definedName>
    <definedName name="Northing">'Camp Elevations'!$E$2:$E$170</definedName>
    <definedName name="nPrograms">Programs!$F$1</definedName>
    <definedName name="nShowers">'Itinerary Details'!$AE$17:$AE$24</definedName>
    <definedName name="peaks">itineraryCamps!$AE$4:$AJ$27</definedName>
    <definedName name="pgmItinXref">Results!$G$4:$P$57</definedName>
    <definedName name="_xlnm.Print_Area" localSheetId="16">'Camp Programs'!$A$1:$BF$53</definedName>
    <definedName name="_xlnm.Print_Area" localSheetId="9">'Detail Informaton'!$A$1:$B$37</definedName>
    <definedName name="_xlnm.Print_Area" localSheetId="0">Instructions!$A$1:$Q$9</definedName>
    <definedName name="_xlnm.Print_Area" localSheetId="6">'Itinerary Details'!$A$1:$S$45</definedName>
    <definedName name="_xlnm.Print_Area" localSheetId="7">'Itinerary Xref Chart'!$A$1:$N$62</definedName>
    <definedName name="_xlnm.Print_Area" localSheetId="11">ItineraryPrograms!$A$1:$L$26</definedName>
    <definedName name="_xlnm.Print_Area" localSheetId="1">Preferences!$A$1:$H$37</definedName>
    <definedName name="_xlnm.Print_Area" localSheetId="15">Programs!$A$1:$D$64</definedName>
    <definedName name="_xlnm.Print_Area" localSheetId="3">Results!$A$1:$P$59</definedName>
    <definedName name="_xlnm.Print_Area" localSheetId="2">Scores!$A$1:$M$55</definedName>
    <definedName name="_xlnm.Print_Area" localSheetId="8">Tables!$A$1:$T$153</definedName>
    <definedName name="_xlnm.Print_Titles" localSheetId="16">'Camp Programs'!$A:$A,'Camp Programs'!$1:$2</definedName>
    <definedName name="program_table">Programs!$B$2:$B$55</definedName>
    <definedName name="programCalculatedValues">Tables!$C$3:$D$56</definedName>
    <definedName name="programFactor">Tables!$D$2</definedName>
    <definedName name="programs">Tables!$C$3:$C$56</definedName>
    <definedName name="programsForCamp">'Camp Programs'!$A$1:$AY$52</definedName>
    <definedName name="programsImportant">Preferences!$F$18</definedName>
    <definedName name="programValues">Tables!$D$3:$D$56</definedName>
    <definedName name="rankedChoice">Results!$E$4:$E$9</definedName>
    <definedName name="rankedClassification">Results!$B$4:$B$15</definedName>
    <definedName name="rankedDistance">Results!$C$4:$C$15</definedName>
    <definedName name="rankedScore">Results!$D$4:$D$15</definedName>
    <definedName name="ranking">Calculator!$B$3:$B$26</definedName>
    <definedName name="resultsWorkbookCells">Results!$A$1:$P$52</definedName>
    <definedName name="revision">Calculator!$B$31</definedName>
    <definedName name="scores">Scores!$B$1:$M$55</definedName>
    <definedName name="Showers">'Camp Elevations'!$L$2:$L$170</definedName>
    <definedName name="skillDelta">Tables!$L$109:$O$118</definedName>
    <definedName name="skillLevel">Preferences!$B$17</definedName>
    <definedName name="sortActivities">Results!$G$4:$H$57</definedName>
    <definedName name="staffCampNames">'Camp Programs'!$A$3:$A$52</definedName>
    <definedName name="staffCampProgramAvailability">'Camp Programs'!$C$3:$BF$52</definedName>
    <definedName name="Staffed">'Camp Elevations'!$I$2:$I$170</definedName>
    <definedName name="startEndInfo">itineraryCamps!$Y$4:$Z$27</definedName>
    <definedName name="startingTA">itineraryCamps!$Y$4:$Y$27</definedName>
    <definedName name="statisticOptions">Tables!$Q$3:$Q$6</definedName>
    <definedName name="tActivity">Tables!$C$20:$D$110</definedName>
    <definedName name="tAltDaily">Tables!$C$135:$D$138</definedName>
    <definedName name="tAltGain">Tables!$C$123:$D$134</definedName>
    <definedName name="tAltMax">Tables!$C$111:$D$122</definedName>
    <definedName name="tArea">Tables!$C$7:$D$17</definedName>
    <definedName name="tCountry">Tables!$C$63:$D$66</definedName>
    <definedName name="tDaysFood">Tables!$C$67:$D$72</definedName>
    <definedName name="tDaysFoodHQ">Tables!$C$73:$D$81</definedName>
    <definedName name="tDifficulty">Tables!$C$107:$D$110</definedName>
    <definedName name="tDry">Tables!$C$91:$D$98</definedName>
    <definedName name="tHikeOut">Tables!$D$139:$D$140</definedName>
    <definedName name="toothOfTimeHike">itineraryCamps!$AI$4:$AI$27</definedName>
    <definedName name="topItineraries">Results!$A$4:$A$9</definedName>
    <definedName name="tradingPost">'Camp Elevations'!$H$2:$H$170</definedName>
    <definedName name="Trail">'Camp Elevations'!$J$2:$J$170</definedName>
    <definedName name="trailCamps">itineraryCamps!$BN$4:$BW$27</definedName>
    <definedName name="trailPeakHike">itineraryCamps!$AJ$4:$AJ$27</definedName>
    <definedName name="trekLabel">itineraryCamps!$B$4:$B$27</definedName>
    <definedName name="trekYear">Calculator!$B$32</definedName>
    <definedName name="tToothReturn">Tables!$D$141:$D$142</definedName>
    <definedName name="tTrail">Tables!$C$82:$D$90</definedName>
    <definedName name="us64Crossing">itineraryCamps!$AB$4:$AD$15</definedName>
    <definedName name="viaTooth">itineraryCamps!$AA$4:$AA$27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56" i="5" l="1"/>
  <c r="N56" i="5"/>
  <c r="M56" i="5" a="1"/>
  <c r="M56" i="5" s="1"/>
  <c r="D56" i="5"/>
  <c r="A29" i="19"/>
  <c r="A4" i="21"/>
  <c r="AF27" i="20"/>
  <c r="AG15" i="21"/>
  <c r="AF15" i="21"/>
  <c r="AE15" i="21"/>
  <c r="AG14" i="21"/>
  <c r="AF14" i="21"/>
  <c r="AE14" i="21"/>
  <c r="AG13" i="21"/>
  <c r="AF13" i="21"/>
  <c r="AE13" i="21"/>
  <c r="AG12" i="21"/>
  <c r="AF12" i="21"/>
  <c r="AE12" i="21"/>
  <c r="AG11" i="21"/>
  <c r="AF11" i="21"/>
  <c r="AE11" i="21"/>
  <c r="AG10" i="21"/>
  <c r="AF10" i="21"/>
  <c r="AE10" i="21"/>
  <c r="AG9" i="21"/>
  <c r="AF9" i="21"/>
  <c r="AE9" i="21"/>
  <c r="AG8" i="21"/>
  <c r="AF8" i="21"/>
  <c r="AE8" i="21"/>
  <c r="AG7" i="21"/>
  <c r="AF7" i="21"/>
  <c r="AE7" i="21"/>
  <c r="AG6" i="21"/>
  <c r="AF6" i="21"/>
  <c r="AE6" i="21"/>
  <c r="AG5" i="21"/>
  <c r="AF5" i="21"/>
  <c r="AE5" i="21"/>
  <c r="AF4" i="21"/>
  <c r="AE4" i="21"/>
  <c r="AG4" i="21"/>
  <c r="AJ28" i="21"/>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8" i="19"/>
  <c r="A27" i="19"/>
  <c r="A26" i="19"/>
  <c r="A25" i="19"/>
  <c r="A24" i="19"/>
  <c r="A23" i="19"/>
  <c r="A22" i="19"/>
  <c r="A21" i="19"/>
  <c r="A20" i="19"/>
  <c r="A19" i="19"/>
  <c r="A18" i="19"/>
  <c r="A17" i="19"/>
  <c r="A16" i="19"/>
  <c r="A15" i="19"/>
  <c r="A14" i="19"/>
  <c r="A13" i="19"/>
  <c r="A12" i="19"/>
  <c r="A11" i="19"/>
  <c r="A10" i="19"/>
  <c r="A9" i="19"/>
  <c r="A8" i="19"/>
  <c r="A7" i="19"/>
  <c r="A6" i="19"/>
  <c r="A5" i="19"/>
  <c r="A4" i="19"/>
  <c r="A3" i="19"/>
  <c r="A2" i="19"/>
  <c r="CB14" i="3" a="1"/>
  <c r="CB14" i="3" s="1"/>
  <c r="BX14" i="3" a="1"/>
  <c r="BX14" i="3" s="1"/>
  <c r="BW14" i="3" a="1"/>
  <c r="BW14" i="3" s="1"/>
  <c r="BV14" i="3" a="1"/>
  <c r="BV14" i="3" s="1"/>
  <c r="BQ14" i="3" a="1"/>
  <c r="BQ14" i="3" s="1"/>
  <c r="BP14" i="3" a="1"/>
  <c r="BP14" i="3" s="1"/>
  <c r="BO14" i="3" a="1"/>
  <c r="BO14" i="3" s="1"/>
  <c r="BM14" i="3" a="1"/>
  <c r="BM14" i="3" s="1"/>
  <c r="BL14" i="3" a="1"/>
  <c r="BL14" i="3" s="1"/>
  <c r="BK14" i="3" a="1"/>
  <c r="BK14" i="3" s="1"/>
  <c r="BJ14" i="3" a="1"/>
  <c r="BJ14" i="3" s="1"/>
  <c r="BG14" i="3" a="1"/>
  <c r="BG14" i="3" s="1"/>
  <c r="AZ14" i="3" a="1"/>
  <c r="AZ14" i="3" s="1"/>
  <c r="AY14" i="3" a="1"/>
  <c r="AY14" i="3" s="1"/>
  <c r="AX14" i="3" a="1"/>
  <c r="AX14" i="3" s="1"/>
  <c r="AW14" i="3" a="1"/>
  <c r="AW14" i="3" s="1"/>
  <c r="AV14" i="3" a="1"/>
  <c r="AV14" i="3" s="1"/>
  <c r="AU14" i="3" a="1"/>
  <c r="AU14" i="3" s="1"/>
  <c r="AT14" i="3" a="1"/>
  <c r="AT14" i="3" s="1"/>
  <c r="AS14" i="3" a="1"/>
  <c r="AS14" i="3" s="1"/>
  <c r="AR14" i="3" a="1"/>
  <c r="AR14" i="3" s="1"/>
  <c r="AM14" i="3" a="1"/>
  <c r="AM14" i="3" s="1"/>
  <c r="AH14" i="3" a="1"/>
  <c r="AH14" i="3" s="1"/>
  <c r="AF14" i="3" a="1"/>
  <c r="AF14" i="3" s="1"/>
  <c r="AE14" i="3" a="1"/>
  <c r="AE14" i="3" s="1"/>
  <c r="AD14" i="3" a="1"/>
  <c r="AD14" i="3" s="1"/>
  <c r="AC14" i="3" a="1"/>
  <c r="AC14" i="3" s="1"/>
  <c r="CB13" i="3" a="1"/>
  <c r="CB13" i="3" s="1"/>
  <c r="BW13" i="3" a="1"/>
  <c r="BW13" i="3" s="1"/>
  <c r="BT13" i="3" a="1"/>
  <c r="BT13" i="3" s="1"/>
  <c r="BS13" i="3" a="1"/>
  <c r="BS13" i="3" s="1"/>
  <c r="BR13" i="3" a="1"/>
  <c r="BR13" i="3" s="1"/>
  <c r="BQ13" i="3" a="1"/>
  <c r="BQ13" i="3" s="1"/>
  <c r="BP13" i="3" a="1"/>
  <c r="BP13" i="3" s="1"/>
  <c r="BO13" i="3" a="1"/>
  <c r="BO13" i="3" s="1"/>
  <c r="BN13" i="3" a="1"/>
  <c r="BN13" i="3" s="1"/>
  <c r="BM13" i="3" a="1"/>
  <c r="BM13" i="3" s="1"/>
  <c r="BL13" i="3" a="1"/>
  <c r="BL13" i="3" s="1"/>
  <c r="BK13" i="3" a="1"/>
  <c r="BK13" i="3" s="1"/>
  <c r="BG13" i="3" a="1"/>
  <c r="BG13" i="3" s="1"/>
  <c r="BA13" i="3" a="1"/>
  <c r="BA13" i="3" s="1"/>
  <c r="AW13" i="3" a="1"/>
  <c r="AW13" i="3" s="1"/>
  <c r="AU13" i="3" a="1"/>
  <c r="AU13" i="3" s="1"/>
  <c r="AR13" i="3" a="1"/>
  <c r="AR13" i="3" s="1"/>
  <c r="AD13" i="3" a="1"/>
  <c r="AD13" i="3" s="1"/>
  <c r="AC13" i="3" a="1"/>
  <c r="AC13" i="3" s="1"/>
  <c r="AB13" i="3" a="1"/>
  <c r="AB13" i="3" s="1"/>
  <c r="AA13" i="3" a="1"/>
  <c r="AA13" i="3" s="1"/>
  <c r="Z13" i="3" a="1"/>
  <c r="Z13" i="3" s="1"/>
  <c r="CB12" i="3" a="1"/>
  <c r="CB12" i="3" s="1"/>
  <c r="BW12" i="3" a="1"/>
  <c r="BW12" i="3" s="1"/>
  <c r="BT12" i="3" a="1"/>
  <c r="BT12" i="3" s="1"/>
  <c r="BS12" i="3" a="1"/>
  <c r="BS12" i="3" s="1"/>
  <c r="BR12" i="3" a="1"/>
  <c r="BR12" i="3" s="1"/>
  <c r="BN12" i="3" a="1"/>
  <c r="BN12" i="3" s="1"/>
  <c r="BM12" i="3" a="1"/>
  <c r="BM12" i="3" s="1"/>
  <c r="BJ12" i="3" a="1"/>
  <c r="BJ12" i="3" s="1"/>
  <c r="BB12" i="3" a="1"/>
  <c r="BB12" i="3" s="1"/>
  <c r="BA12" i="3" a="1"/>
  <c r="BA12" i="3" s="1"/>
  <c r="AU12" i="3" a="1"/>
  <c r="AU12" i="3" s="1"/>
  <c r="AR12" i="3" a="1"/>
  <c r="AR12" i="3" s="1"/>
  <c r="AP12" i="3" a="1"/>
  <c r="AP12" i="3" s="1"/>
  <c r="AN12" i="3" a="1"/>
  <c r="AN12" i="3" s="1"/>
  <c r="AL12" i="3" a="1"/>
  <c r="AL12" i="3" s="1"/>
  <c r="AH12" i="3" a="1"/>
  <c r="AH12" i="3" s="1"/>
  <c r="AG12" i="3" a="1"/>
  <c r="AG12" i="3" s="1"/>
  <c r="AF12" i="3" a="1"/>
  <c r="AF12" i="3" s="1"/>
  <c r="AC12" i="3" a="1"/>
  <c r="AC12" i="3" s="1"/>
  <c r="AB12" i="3" a="1"/>
  <c r="AB12" i="3" s="1"/>
  <c r="AA12" i="3" a="1"/>
  <c r="AA12" i="3" s="1"/>
  <c r="Z12" i="3" a="1"/>
  <c r="Z12" i="3" s="1"/>
  <c r="Y12" i="3" a="1"/>
  <c r="Y12" i="3" s="1"/>
  <c r="CB11" i="3" a="1"/>
  <c r="CB11" i="3" s="1"/>
  <c r="BW11" i="3" a="1"/>
  <c r="BW11" i="3" s="1"/>
  <c r="BV11" i="3" a="1"/>
  <c r="BV11" i="3" s="1"/>
  <c r="BT11" i="3" a="1"/>
  <c r="BT11" i="3" s="1"/>
  <c r="BS11" i="3" a="1"/>
  <c r="BS11" i="3" s="1"/>
  <c r="BR11" i="3" a="1"/>
  <c r="BR11" i="3" s="1"/>
  <c r="BN11" i="3" a="1"/>
  <c r="BN11" i="3" s="1"/>
  <c r="BM11" i="3" a="1"/>
  <c r="BM11" i="3" s="1"/>
  <c r="BJ11" i="3" a="1"/>
  <c r="BJ11" i="3" s="1"/>
  <c r="BA11" i="3" a="1"/>
  <c r="BA11" i="3" s="1"/>
  <c r="AZ11" i="3" a="1"/>
  <c r="AZ11" i="3" s="1"/>
  <c r="AY11" i="3" a="1"/>
  <c r="AY11" i="3" s="1"/>
  <c r="AX11" i="3" a="1"/>
  <c r="AX11" i="3" s="1"/>
  <c r="AW11" i="3" a="1"/>
  <c r="AW11" i="3" s="1"/>
  <c r="AV11" i="3" a="1"/>
  <c r="AV11" i="3" s="1"/>
  <c r="AR11" i="3" a="1"/>
  <c r="AR11" i="3" s="1"/>
  <c r="AH11" i="3" a="1"/>
  <c r="AH11" i="3" s="1"/>
  <c r="AC11" i="3" a="1"/>
  <c r="AC11" i="3" s="1"/>
  <c r="AA11" i="3" a="1"/>
  <c r="AA11" i="3" s="1"/>
  <c r="Z11" i="3" a="1"/>
  <c r="Z11" i="3" s="1"/>
  <c r="BU10" i="3" a="1"/>
  <c r="BU10" i="3" s="1"/>
  <c r="BT10" i="3" a="1"/>
  <c r="BT10" i="3" s="1"/>
  <c r="BS10" i="3" a="1"/>
  <c r="BS10" i="3" s="1"/>
  <c r="BR10" i="3" a="1"/>
  <c r="BR10" i="3" s="1"/>
  <c r="BQ10" i="3" a="1"/>
  <c r="BQ10" i="3" s="1"/>
  <c r="BO10" i="3" a="1"/>
  <c r="BO10" i="3" s="1"/>
  <c r="BN10" i="3" a="1"/>
  <c r="BN10" i="3" s="1"/>
  <c r="BJ10" i="3" a="1"/>
  <c r="BJ10" i="3" s="1"/>
  <c r="BG10" i="3" a="1"/>
  <c r="BG10" i="3" s="1"/>
  <c r="BB10" i="3" a="1"/>
  <c r="BB10" i="3" s="1"/>
  <c r="AU10" i="3" a="1"/>
  <c r="AU10" i="3" s="1"/>
  <c r="AS10" i="3" a="1"/>
  <c r="AS10" i="3" s="1"/>
  <c r="AN10" i="3" a="1"/>
  <c r="AN10" i="3" s="1"/>
  <c r="AH10" i="3" a="1"/>
  <c r="AH10" i="3" s="1"/>
  <c r="AF10" i="3" a="1"/>
  <c r="AF10" i="3" s="1"/>
  <c r="AB10" i="3" a="1"/>
  <c r="AB10" i="3" s="1"/>
  <c r="AA10" i="3" a="1"/>
  <c r="AA10" i="3" s="1"/>
  <c r="Z10" i="3" a="1"/>
  <c r="Z10" i="3" s="1"/>
  <c r="Y10" i="3" a="1"/>
  <c r="Y10" i="3" s="1"/>
  <c r="CA9" i="3" a="1"/>
  <c r="CA9" i="3" s="1"/>
  <c r="BZ9" i="3" a="1"/>
  <c r="BZ9" i="3" s="1"/>
  <c r="BV9" i="3" a="1"/>
  <c r="BV9" i="3" s="1"/>
  <c r="BO9" i="3" a="1"/>
  <c r="BO9" i="3" s="1"/>
  <c r="BM9" i="3" a="1"/>
  <c r="BM9" i="3" s="1"/>
  <c r="BI9" i="3" a="1"/>
  <c r="BI9" i="3" s="1"/>
  <c r="BA9" i="3" a="1"/>
  <c r="BA9" i="3" s="1"/>
  <c r="AY9" i="3" a="1"/>
  <c r="AY9" i="3" s="1"/>
  <c r="AX9" i="3" a="1"/>
  <c r="AX9" i="3" s="1"/>
  <c r="AW9" i="3" a="1"/>
  <c r="AW9" i="3" s="1"/>
  <c r="AV9" i="3" a="1"/>
  <c r="AV9" i="3" s="1"/>
  <c r="AU9" i="3" a="1"/>
  <c r="AU9" i="3" s="1"/>
  <c r="AR9" i="3" a="1"/>
  <c r="AR9" i="3" s="1"/>
  <c r="AQ9" i="3" a="1"/>
  <c r="AQ9" i="3" s="1"/>
  <c r="AP9" i="3" a="1"/>
  <c r="AP9" i="3" s="1"/>
  <c r="AN9" i="3" a="1"/>
  <c r="AN9" i="3" s="1"/>
  <c r="AL9" i="3" a="1"/>
  <c r="AL9" i="3" s="1"/>
  <c r="AK9" i="3" a="1"/>
  <c r="AK9" i="3" s="1"/>
  <c r="AH9" i="3" a="1"/>
  <c r="AH9" i="3" s="1"/>
  <c r="AG9" i="3" a="1"/>
  <c r="AG9" i="3" s="1"/>
  <c r="AF9" i="3" a="1"/>
  <c r="AF9" i="3" s="1"/>
  <c r="AC9" i="3" a="1"/>
  <c r="AC9" i="3" s="1"/>
  <c r="AA9" i="3" a="1"/>
  <c r="AA9" i="3" s="1"/>
  <c r="Z9" i="3" a="1"/>
  <c r="Z9" i="3" s="1"/>
  <c r="BT8" i="3" a="1"/>
  <c r="BT8" i="3" s="1"/>
  <c r="BS8" i="3" a="1"/>
  <c r="BS8" i="3" s="1"/>
  <c r="BR8" i="3" a="1"/>
  <c r="BR8" i="3" s="1"/>
  <c r="BO8" i="3" a="1"/>
  <c r="BO8" i="3" s="1"/>
  <c r="BN8" i="3" a="1"/>
  <c r="BN8" i="3" s="1"/>
  <c r="BI8" i="3" a="1"/>
  <c r="BI8" i="3" s="1"/>
  <c r="BB8" i="3" a="1"/>
  <c r="BB8" i="3" s="1"/>
  <c r="BA8" i="3" a="1"/>
  <c r="BA8" i="3" s="1"/>
  <c r="AY8" i="3" a="1"/>
  <c r="AY8" i="3" s="1"/>
  <c r="AX8" i="3" a="1"/>
  <c r="AX8" i="3" s="1"/>
  <c r="AW8" i="3" a="1"/>
  <c r="AW8" i="3" s="1"/>
  <c r="AU8" i="3" a="1"/>
  <c r="AU8" i="3" s="1"/>
  <c r="AR8" i="3" a="1"/>
  <c r="AR8" i="3" s="1"/>
  <c r="AP8" i="3" a="1"/>
  <c r="AP8" i="3" s="1"/>
  <c r="AN8" i="3" a="1"/>
  <c r="AN8" i="3" s="1"/>
  <c r="AM8" i="3" a="1"/>
  <c r="AM8" i="3" s="1"/>
  <c r="AL8" i="3" a="1"/>
  <c r="AL8" i="3" s="1"/>
  <c r="AK8" i="3" a="1"/>
  <c r="AK8" i="3" s="1"/>
  <c r="AH8" i="3" a="1"/>
  <c r="AH8" i="3" s="1"/>
  <c r="AG8" i="3" a="1"/>
  <c r="AG8" i="3" s="1"/>
  <c r="BT7" i="3" a="1"/>
  <c r="BT7" i="3" s="1"/>
  <c r="BS7" i="3" a="1"/>
  <c r="BS7" i="3" s="1"/>
  <c r="BR7" i="3" a="1"/>
  <c r="BR7" i="3" s="1"/>
  <c r="BP7" i="3" a="1"/>
  <c r="BP7" i="3" s="1"/>
  <c r="BO7" i="3" a="1"/>
  <c r="BO7" i="3" s="1"/>
  <c r="BN7" i="3" a="1"/>
  <c r="BN7" i="3" s="1"/>
  <c r="BI7" i="3" a="1"/>
  <c r="BI7" i="3" s="1"/>
  <c r="AY7" i="3" a="1"/>
  <c r="AY7" i="3" s="1"/>
  <c r="AX7" i="3" a="1"/>
  <c r="AX7" i="3" s="1"/>
  <c r="AW7" i="3" a="1"/>
  <c r="AW7" i="3" s="1"/>
  <c r="AU7" i="3" a="1"/>
  <c r="AU7" i="3" s="1"/>
  <c r="AK7" i="3" a="1"/>
  <c r="AK7" i="3" s="1"/>
  <c r="AJ7" i="3" a="1"/>
  <c r="AJ7" i="3" s="1"/>
  <c r="AF7" i="3" a="1"/>
  <c r="AF7" i="3" s="1"/>
  <c r="AC7" i="3" a="1"/>
  <c r="AC7" i="3" s="1"/>
  <c r="AB7" i="3" a="1"/>
  <c r="AB7" i="3" s="1"/>
  <c r="AA7" i="3" a="1"/>
  <c r="AA7" i="3" s="1"/>
  <c r="Z7" i="3" a="1"/>
  <c r="Z7" i="3" s="1"/>
  <c r="Y7" i="3" a="1"/>
  <c r="Y7" i="3" s="1"/>
  <c r="CB6" i="3" a="1"/>
  <c r="CB6" i="3" s="1"/>
  <c r="BW6" i="3" a="1"/>
  <c r="BW6" i="3" s="1"/>
  <c r="BV6" i="3" a="1"/>
  <c r="BV6" i="3" s="1"/>
  <c r="BT6" i="3" a="1"/>
  <c r="BT6" i="3" s="1"/>
  <c r="BS6" i="3" a="1"/>
  <c r="BS6" i="3" s="1"/>
  <c r="BR6" i="3" a="1"/>
  <c r="BR6" i="3" s="1"/>
  <c r="BP6" i="3" a="1"/>
  <c r="BP6" i="3" s="1"/>
  <c r="BN6" i="3" a="1"/>
  <c r="BN6" i="3" s="1"/>
  <c r="BM6" i="3" a="1"/>
  <c r="BM6" i="3" s="1"/>
  <c r="BL6" i="3" a="1"/>
  <c r="BL6" i="3" s="1"/>
  <c r="BK6" i="3" a="1"/>
  <c r="BK6" i="3" s="1"/>
  <c r="BJ6" i="3" a="1"/>
  <c r="BJ6" i="3" s="1"/>
  <c r="BB6" i="3" a="1"/>
  <c r="BB6" i="3" s="1"/>
  <c r="BA6" i="3" a="1"/>
  <c r="BA6" i="3" s="1"/>
  <c r="AV6" i="3" a="1"/>
  <c r="AV6" i="3" s="1"/>
  <c r="AU6" i="3" a="1"/>
  <c r="AU6" i="3" s="1"/>
  <c r="AR6" i="3" a="1"/>
  <c r="AR6" i="3" s="1"/>
  <c r="AF6" i="3" a="1"/>
  <c r="AF6" i="3" s="1"/>
  <c r="AC6" i="3" a="1"/>
  <c r="AC6" i="3" s="1"/>
  <c r="AB6" i="3" a="1"/>
  <c r="AB6" i="3" s="1"/>
  <c r="AA6" i="3" a="1"/>
  <c r="AA6" i="3" s="1"/>
  <c r="Z6" i="3" a="1"/>
  <c r="Z6" i="3" s="1"/>
  <c r="Y6" i="3" a="1"/>
  <c r="Y6" i="3" s="1"/>
  <c r="BZ5" i="3" a="1"/>
  <c r="BZ5" i="3" s="1"/>
  <c r="BU5" i="3" a="1"/>
  <c r="BU5" i="3" s="1"/>
  <c r="BT5" i="3" a="1"/>
  <c r="BT5" i="3" s="1"/>
  <c r="BS5" i="3" a="1"/>
  <c r="BS5" i="3" s="1"/>
  <c r="BQ5" i="3" a="1"/>
  <c r="BQ5" i="3" s="1"/>
  <c r="BO5" i="3" a="1"/>
  <c r="BO5" i="3" s="1"/>
  <c r="BM5" i="3" a="1"/>
  <c r="BM5" i="3" s="1"/>
  <c r="BL5" i="3" a="1"/>
  <c r="BL5" i="3" s="1"/>
  <c r="BG5" i="3" a="1"/>
  <c r="BG5" i="3" s="1"/>
  <c r="BB5" i="3" a="1"/>
  <c r="BB5" i="3" s="1"/>
  <c r="BA5" i="3" a="1"/>
  <c r="BA5" i="3" s="1"/>
  <c r="AZ5" i="3" a="1"/>
  <c r="AZ5" i="3" s="1"/>
  <c r="AY5" i="3" a="1"/>
  <c r="AY5" i="3" s="1"/>
  <c r="AW5" i="3" a="1"/>
  <c r="AW5" i="3" s="1"/>
  <c r="AU5" i="3" a="1"/>
  <c r="AU5" i="3" s="1"/>
  <c r="AS5" i="3" a="1"/>
  <c r="AS5" i="3" s="1"/>
  <c r="AR5" i="3" a="1"/>
  <c r="AR5" i="3" s="1"/>
  <c r="AQ5" i="3" a="1"/>
  <c r="AQ5" i="3" s="1"/>
  <c r="AP5" i="3" a="1"/>
  <c r="AP5" i="3" s="1"/>
  <c r="AN5" i="3" a="1"/>
  <c r="AN5" i="3" s="1"/>
  <c r="AL5" i="3" a="1"/>
  <c r="AL5" i="3" s="1"/>
  <c r="AH5" i="3" a="1"/>
  <c r="AH5" i="3" s="1"/>
  <c r="AC5" i="3" a="1"/>
  <c r="AC5" i="3" s="1"/>
  <c r="AB5" i="3" a="1"/>
  <c r="AB5" i="3" s="1"/>
  <c r="AA5" i="3" a="1"/>
  <c r="AA5" i="3" s="1"/>
  <c r="Z5" i="3" a="1"/>
  <c r="Z5" i="3" s="1"/>
  <c r="CB4" i="3" a="1"/>
  <c r="CB4" i="3" s="1"/>
  <c r="BW4" i="3" a="1"/>
  <c r="BW4" i="3" s="1"/>
  <c r="BV4" i="3" a="1"/>
  <c r="BV4" i="3" s="1"/>
  <c r="BR4" i="3" a="1"/>
  <c r="BR4" i="3" s="1"/>
  <c r="BQ4" i="3" a="1"/>
  <c r="BQ4" i="3" s="1"/>
  <c r="BN4" i="3" a="1"/>
  <c r="BN4" i="3" s="1"/>
  <c r="BM4" i="3" a="1"/>
  <c r="BM4" i="3" s="1"/>
  <c r="BJ4" i="3" a="1"/>
  <c r="BJ4" i="3" s="1"/>
  <c r="BH4" i="3" a="1"/>
  <c r="BH4" i="3" s="1"/>
  <c r="BF4" i="3" a="1"/>
  <c r="BF4" i="3" s="1"/>
  <c r="BB4" i="3" a="1"/>
  <c r="BB4" i="3" s="1"/>
  <c r="BA4" i="3" a="1"/>
  <c r="BA4" i="3" s="1"/>
  <c r="AX4" i="3" a="1"/>
  <c r="AX4" i="3" s="1"/>
  <c r="AW4" i="3" a="1"/>
  <c r="AW4" i="3" s="1"/>
  <c r="AU4" i="3" a="1"/>
  <c r="AU4" i="3" s="1"/>
  <c r="AR4" i="3" a="1"/>
  <c r="AR4" i="3" s="1"/>
  <c r="AP4" i="3" a="1"/>
  <c r="AP4" i="3" s="1"/>
  <c r="AO4" i="3" a="1"/>
  <c r="AO4" i="3" s="1"/>
  <c r="AN4" i="3" a="1"/>
  <c r="AN4" i="3" s="1"/>
  <c r="AL4" i="3" a="1"/>
  <c r="AL4" i="3" s="1"/>
  <c r="AH4" i="3" a="1"/>
  <c r="AH4" i="3" s="1"/>
  <c r="AG4" i="3" a="1"/>
  <c r="AG4" i="3" s="1"/>
  <c r="AF4" i="3" a="1"/>
  <c r="AF4" i="3" s="1"/>
  <c r="AC4" i="3" a="1"/>
  <c r="AC4" i="3" s="1"/>
  <c r="AA4" i="3" a="1"/>
  <c r="AA4" i="3" s="1"/>
  <c r="Z4" i="3" a="1"/>
  <c r="Z4" i="3" s="1"/>
  <c r="Y4" i="3" a="1"/>
  <c r="Y4" i="3" s="1"/>
  <c r="CB3" i="3" a="1"/>
  <c r="CB3" i="3" s="1"/>
  <c r="BX3" i="3" a="1"/>
  <c r="BX3" i="3" s="1"/>
  <c r="BW3" i="3" a="1"/>
  <c r="BW3" i="3" s="1"/>
  <c r="BV3" i="3" a="1"/>
  <c r="BV3" i="3" s="1"/>
  <c r="BU3" i="3" a="1"/>
  <c r="BU3" i="3" s="1"/>
  <c r="BT3" i="3" a="1"/>
  <c r="BT3" i="3" s="1"/>
  <c r="BS3" i="3" a="1"/>
  <c r="BS3" i="3" s="1"/>
  <c r="BR3" i="3" a="1"/>
  <c r="BR3" i="3" s="1"/>
  <c r="BP3" i="3" a="1"/>
  <c r="BP3" i="3" s="1"/>
  <c r="BO3" i="3" a="1"/>
  <c r="BO3" i="3" s="1"/>
  <c r="BN3" i="3" a="1"/>
  <c r="BN3" i="3" s="1"/>
  <c r="BM3" i="3" a="1"/>
  <c r="BM3" i="3" s="1"/>
  <c r="BJ3" i="3" a="1"/>
  <c r="BJ3" i="3" s="1"/>
  <c r="BG3" i="3" a="1"/>
  <c r="BG3" i="3" s="1"/>
  <c r="AZ3" i="3" a="1"/>
  <c r="AZ3" i="3" s="1"/>
  <c r="AX3" i="3" a="1"/>
  <c r="AX3" i="3" s="1"/>
  <c r="AW3" i="3" a="1"/>
  <c r="AW3" i="3" s="1"/>
  <c r="AV3" i="3" a="1"/>
  <c r="AV3" i="3" s="1"/>
  <c r="AU3" i="3" a="1"/>
  <c r="AU3" i="3" s="1"/>
  <c r="AT3" i="3" a="1"/>
  <c r="AT3" i="3" s="1"/>
  <c r="AS3" i="3" a="1"/>
  <c r="AS3" i="3" s="1"/>
  <c r="AN3" i="3" a="1"/>
  <c r="AN3" i="3" s="1"/>
  <c r="AF3" i="3" a="1"/>
  <c r="AF3" i="3" s="1"/>
  <c r="BF53" i="13"/>
  <c r="BE53" i="13"/>
  <c r="BD53" i="13"/>
  <c r="BC53" i="13"/>
  <c r="BB53" i="13"/>
  <c r="BA53" i="13"/>
  <c r="AZ53" i="13"/>
  <c r="AY53" i="13"/>
  <c r="BG9" i="3" a="1"/>
  <c r="AH13" i="3" a="1"/>
  <c r="AH7" i="3" a="1"/>
  <c r="BG8" i="3" a="1"/>
  <c r="CB10" i="3" a="1"/>
  <c r="BW10" i="3" a="1"/>
  <c r="AG5" i="3" a="1"/>
  <c r="AH6" i="3" a="1"/>
  <c r="C13" i="3" a="1"/>
  <c r="C5" i="3" a="1"/>
  <c r="B6" i="9"/>
  <c r="C10" i="3" a="1"/>
  <c r="C14" i="3" a="1"/>
  <c r="C12" i="3" a="1"/>
  <c r="D8" i="3" a="1"/>
  <c r="D12" i="3" a="1"/>
  <c r="D6" i="3" a="1"/>
  <c r="C3" i="3" a="1"/>
  <c r="D4" i="3" a="1"/>
  <c r="D11" i="3" a="1"/>
  <c r="D5" i="3" a="1"/>
  <c r="C7" i="3" a="1"/>
  <c r="D7" i="3" a="1"/>
  <c r="D13" i="3" a="1"/>
  <c r="D3" i="3" a="1"/>
  <c r="D14" i="3" a="1"/>
  <c r="C6" i="3" a="1"/>
  <c r="D9" i="3" a="1"/>
  <c r="C11" i="3" a="1"/>
  <c r="C8" i="3" a="1"/>
  <c r="C9" i="3" a="1"/>
  <c r="P56" i="5" a="1"/>
  <c r="C4" i="3" a="1"/>
  <c r="D10" i="3" a="1"/>
  <c r="P56" i="5" l="1"/>
  <c r="AH6" i="3"/>
  <c r="AG5" i="3"/>
  <c r="BW10" i="3"/>
  <c r="CB10" i="3"/>
  <c r="BG8" i="3"/>
  <c r="AH7" i="3"/>
  <c r="AH13" i="3"/>
  <c r="BG9" i="3"/>
  <c r="F1" i="19"/>
  <c r="C4" i="3"/>
  <c r="C6" i="3"/>
  <c r="C9" i="3"/>
  <c r="C12" i="3"/>
  <c r="D6" i="3"/>
  <c r="D9" i="3"/>
  <c r="D12" i="3"/>
  <c r="D4" i="3"/>
  <c r="D7" i="3"/>
  <c r="D10" i="3"/>
  <c r="D13" i="3"/>
  <c r="C5" i="3"/>
  <c r="C8" i="3"/>
  <c r="C11" i="3"/>
  <c r="C14" i="3"/>
  <c r="C13" i="3"/>
  <c r="C10" i="3"/>
  <c r="D5" i="3"/>
  <c r="D8" i="3"/>
  <c r="D11" i="3"/>
  <c r="D14" i="3"/>
  <c r="C7" i="3"/>
  <c r="D3" i="3"/>
  <c r="C3" i="3"/>
  <c r="AF28" i="21"/>
  <c r="AG28" i="21"/>
  <c r="M3" i="5"/>
  <c r="A44" i="4" a="1"/>
  <c r="A44" i="4" s="1"/>
  <c r="A45" i="4" a="1"/>
  <c r="A45" i="4" s="1"/>
  <c r="A46" i="4" a="1"/>
  <c r="A46" i="4" s="1"/>
  <c r="A47" i="4" a="1"/>
  <c r="A47" i="4" s="1"/>
  <c r="A48" i="4" a="1"/>
  <c r="A48" i="4" s="1"/>
  <c r="A49" i="4" a="1"/>
  <c r="A49" i="4" s="1"/>
  <c r="BE11" i="3" a="1"/>
  <c r="BE11" i="3" s="1"/>
  <c r="BE10" i="3" a="1"/>
  <c r="BE10" i="3" s="1"/>
  <c r="BE9" i="3" a="1"/>
  <c r="BE9" i="3" s="1"/>
  <c r="BE8" i="3" a="1"/>
  <c r="BE8" i="3" s="1"/>
  <c r="BE6" i="3" a="1"/>
  <c r="BE6" i="3" s="1"/>
  <c r="BE5" i="3" a="1"/>
  <c r="BE5" i="3" s="1"/>
  <c r="BE4" i="3" a="1"/>
  <c r="BE4" i="3" s="1"/>
  <c r="BE3" i="3" a="1"/>
  <c r="BE3" i="3" s="1"/>
  <c r="AA15" i="21"/>
  <c r="AA14" i="21"/>
  <c r="AA13" i="21"/>
  <c r="AA12" i="21"/>
  <c r="AA11" i="21"/>
  <c r="AA10" i="21"/>
  <c r="AA9" i="21"/>
  <c r="AA8" i="21"/>
  <c r="AA7" i="21"/>
  <c r="AA6" i="21"/>
  <c r="AA5" i="21"/>
  <c r="M35" i="5" a="1"/>
  <c r="M35" i="5" s="1"/>
  <c r="N35" i="5"/>
  <c r="O35" i="5"/>
  <c r="M36" i="5" a="1"/>
  <c r="M36" i="5" s="1"/>
  <c r="N36" i="5"/>
  <c r="O36" i="5"/>
  <c r="M37" i="5" a="1"/>
  <c r="M37" i="5" s="1"/>
  <c r="N37" i="5"/>
  <c r="O37" i="5"/>
  <c r="M38" i="5" a="1"/>
  <c r="M38" i="5" s="1"/>
  <c r="N38" i="5"/>
  <c r="O38" i="5"/>
  <c r="M39" i="5" a="1"/>
  <c r="M39" i="5" s="1"/>
  <c r="N39" i="5"/>
  <c r="O39" i="5"/>
  <c r="M40" i="5" a="1"/>
  <c r="M40" i="5" s="1"/>
  <c r="N40" i="5"/>
  <c r="O40" i="5"/>
  <c r="A35" i="5"/>
  <c r="C35" i="5" s="1" a="1"/>
  <c r="C35" i="5" s="1"/>
  <c r="D35" i="5"/>
  <c r="A36" i="5"/>
  <c r="C36" i="5" s="1" a="1"/>
  <c r="C36" i="5" s="1"/>
  <c r="D36" i="5"/>
  <c r="A37" i="5"/>
  <c r="C37" i="5" s="1" a="1"/>
  <c r="C37" i="5" s="1"/>
  <c r="D37" i="5"/>
  <c r="A38" i="5"/>
  <c r="C38" i="5" s="1" a="1"/>
  <c r="C38" i="5" s="1"/>
  <c r="D38" i="5"/>
  <c r="A39" i="5"/>
  <c r="C39" i="5" s="1" a="1"/>
  <c r="C39" i="5" s="1"/>
  <c r="D39" i="5"/>
  <c r="A40" i="5"/>
  <c r="C40" i="5" s="1" a="1"/>
  <c r="C40" i="5" s="1"/>
  <c r="D40" i="5"/>
  <c r="A41" i="5"/>
  <c r="C41" i="5" s="1" a="1"/>
  <c r="C41" i="5" s="1"/>
  <c r="D41" i="5"/>
  <c r="A43" i="15" a="1"/>
  <c r="A43" i="15" s="1"/>
  <c r="A44" i="15" a="1"/>
  <c r="A44" i="15" s="1"/>
  <c r="A45" i="15" a="1"/>
  <c r="A45" i="15" s="1"/>
  <c r="A46" i="15" a="1"/>
  <c r="A46" i="15" s="1"/>
  <c r="A47" i="15" a="1"/>
  <c r="A47" i="15" s="1"/>
  <c r="A48" i="15" a="1"/>
  <c r="A48" i="15" s="1"/>
  <c r="A49" i="15" a="1"/>
  <c r="A49" i="15" s="1"/>
  <c r="AY27" i="20"/>
  <c r="AZ27" i="20"/>
  <c r="BA27" i="20"/>
  <c r="BB27" i="20"/>
  <c r="BC27" i="20"/>
  <c r="BD27" i="20"/>
  <c r="BE27" i="20"/>
  <c r="BF27" i="20"/>
  <c r="A56" i="5"/>
  <c r="C56" i="5" s="1" a="1"/>
  <c r="C56" i="5" s="1"/>
  <c r="A55" i="5"/>
  <c r="C55" i="5" s="1" a="1"/>
  <c r="C55" i="5" s="1"/>
  <c r="A54" i="5"/>
  <c r="C54" i="5" s="1" a="1"/>
  <c r="C54" i="5" s="1"/>
  <c r="A53" i="5"/>
  <c r="C53" i="5" s="1" a="1"/>
  <c r="C53" i="5" s="1"/>
  <c r="A52" i="5"/>
  <c r="C52" i="5" s="1" a="1"/>
  <c r="C52" i="5" s="1"/>
  <c r="A51" i="5"/>
  <c r="C51" i="5" s="1" a="1"/>
  <c r="C51" i="5" s="1"/>
  <c r="A50" i="5"/>
  <c r="C50" i="5" s="1" a="1"/>
  <c r="C50" i="5" s="1"/>
  <c r="A49" i="5"/>
  <c r="C49" i="5" s="1" a="1"/>
  <c r="C49" i="5" s="1"/>
  <c r="A48" i="5"/>
  <c r="C48" i="5" s="1" a="1"/>
  <c r="C48" i="5" s="1"/>
  <c r="A47" i="5"/>
  <c r="C47" i="5" s="1" a="1"/>
  <c r="C47" i="5" s="1"/>
  <c r="A46" i="5"/>
  <c r="C46" i="5" s="1" a="1"/>
  <c r="C46" i="5" s="1"/>
  <c r="A45" i="5"/>
  <c r="C45" i="5" s="1" a="1"/>
  <c r="C45" i="5" s="1"/>
  <c r="A44" i="5"/>
  <c r="C44" i="5" s="1" a="1"/>
  <c r="C44" i="5" s="1"/>
  <c r="A43" i="5"/>
  <c r="C43" i="5" s="1" a="1"/>
  <c r="C43" i="5" s="1"/>
  <c r="A42" i="5"/>
  <c r="C42" i="5" s="1" a="1"/>
  <c r="C42" i="5" s="1"/>
  <c r="A34" i="5"/>
  <c r="C34" i="5" s="1" a="1"/>
  <c r="C34" i="5" s="1"/>
  <c r="A33" i="5"/>
  <c r="C33" i="5" s="1" a="1"/>
  <c r="C33" i="5" s="1"/>
  <c r="A32" i="5"/>
  <c r="C32" i="5" s="1" a="1"/>
  <c r="C32" i="5" s="1"/>
  <c r="A31" i="5"/>
  <c r="C31" i="5" s="1" a="1"/>
  <c r="C31" i="5" s="1"/>
  <c r="A30" i="5"/>
  <c r="C30" i="5" s="1" a="1"/>
  <c r="C30" i="5" s="1"/>
  <c r="A29" i="5"/>
  <c r="C29" i="5" s="1" a="1"/>
  <c r="C29" i="5" s="1"/>
  <c r="A28" i="5"/>
  <c r="C28" i="5" s="1" a="1"/>
  <c r="C28" i="5" s="1"/>
  <c r="A27" i="5"/>
  <c r="C27" i="5" s="1" a="1"/>
  <c r="C27" i="5" s="1"/>
  <c r="A26" i="5"/>
  <c r="C26" i="5" s="1" a="1"/>
  <c r="C26" i="5" s="1"/>
  <c r="A25" i="5"/>
  <c r="C25" i="5" s="1" a="1"/>
  <c r="C25" i="5" s="1"/>
  <c r="A24" i="5"/>
  <c r="C24" i="5" s="1" a="1"/>
  <c r="C24" i="5" s="1"/>
  <c r="A23" i="5"/>
  <c r="C23" i="5" s="1" a="1"/>
  <c r="C23" i="5" s="1"/>
  <c r="A22" i="5"/>
  <c r="C22" i="5" s="1" a="1"/>
  <c r="C22" i="5" s="1"/>
  <c r="A21" i="5"/>
  <c r="C21" i="5" s="1" a="1"/>
  <c r="C21" i="5" s="1"/>
  <c r="A20" i="5"/>
  <c r="C20" i="5" s="1" a="1"/>
  <c r="C20" i="5" s="1"/>
  <c r="A19" i="5"/>
  <c r="C19" i="5" s="1" a="1"/>
  <c r="C19" i="5" s="1"/>
  <c r="A18" i="5"/>
  <c r="C18" i="5" s="1" a="1"/>
  <c r="C18" i="5" s="1"/>
  <c r="A17" i="5"/>
  <c r="C17" i="5" s="1" a="1"/>
  <c r="C17" i="5" s="1"/>
  <c r="A16" i="5"/>
  <c r="C16" i="5" s="1" a="1"/>
  <c r="C16" i="5" s="1"/>
  <c r="A15" i="5"/>
  <c r="C15" i="5" s="1" a="1"/>
  <c r="C15" i="5" s="1"/>
  <c r="A14" i="5"/>
  <c r="C14" i="5" s="1" a="1"/>
  <c r="C14" i="5" s="1"/>
  <c r="A13" i="5"/>
  <c r="C13" i="5" s="1" a="1"/>
  <c r="C13" i="5" s="1"/>
  <c r="A12" i="5"/>
  <c r="C12" i="5" s="1" a="1"/>
  <c r="C12" i="5" s="1"/>
  <c r="A11" i="5"/>
  <c r="C11" i="5" s="1" a="1"/>
  <c r="C11" i="5" s="1"/>
  <c r="A10" i="5"/>
  <c r="C10" i="5" s="1" a="1"/>
  <c r="C10" i="5" s="1"/>
  <c r="A9" i="5"/>
  <c r="C9" i="5" s="1" a="1"/>
  <c r="C9" i="5" s="1"/>
  <c r="A8" i="5"/>
  <c r="C8" i="5" s="1" a="1"/>
  <c r="C8" i="5" s="1"/>
  <c r="A7" i="5"/>
  <c r="C7" i="5" s="1" a="1"/>
  <c r="C7" i="5" s="1"/>
  <c r="A6" i="5"/>
  <c r="C6" i="5" s="1" a="1"/>
  <c r="C6" i="5" s="1"/>
  <c r="A5" i="5"/>
  <c r="C5" i="5" s="1" a="1"/>
  <c r="C5" i="5" s="1"/>
  <c r="A4" i="5"/>
  <c r="C4" i="5" s="1" a="1"/>
  <c r="C4" i="5" s="1"/>
  <c r="A3" i="5"/>
  <c r="O55" i="5"/>
  <c r="N55" i="5"/>
  <c r="M55" i="5" a="1"/>
  <c r="M55" i="5" s="1"/>
  <c r="O54" i="5"/>
  <c r="N54" i="5"/>
  <c r="M54" i="5" a="1"/>
  <c r="M54" i="5" s="1"/>
  <c r="O53" i="5"/>
  <c r="N53" i="5"/>
  <c r="M53" i="5" a="1"/>
  <c r="M53" i="5" s="1"/>
  <c r="O52" i="5"/>
  <c r="N52" i="5"/>
  <c r="M52" i="5" a="1"/>
  <c r="M52" i="5" s="1"/>
  <c r="O51" i="5"/>
  <c r="N51" i="5"/>
  <c r="M51" i="5" a="1"/>
  <c r="M51" i="5" s="1"/>
  <c r="O50" i="5"/>
  <c r="N50" i="5"/>
  <c r="M50" i="5" a="1"/>
  <c r="M50" i="5" s="1"/>
  <c r="O49" i="5"/>
  <c r="N49" i="5"/>
  <c r="M49" i="5" a="1"/>
  <c r="M49" i="5" s="1"/>
  <c r="O48" i="5"/>
  <c r="N48" i="5"/>
  <c r="M48" i="5" a="1"/>
  <c r="M48" i="5" s="1"/>
  <c r="O47" i="5"/>
  <c r="N47" i="5"/>
  <c r="M47" i="5" a="1"/>
  <c r="M47" i="5" s="1"/>
  <c r="O46" i="5"/>
  <c r="N46" i="5"/>
  <c r="M46" i="5" a="1"/>
  <c r="M46" i="5" s="1"/>
  <c r="O45" i="5"/>
  <c r="N45" i="5"/>
  <c r="M45" i="5" a="1"/>
  <c r="M45" i="5" s="1"/>
  <c r="O44" i="5"/>
  <c r="N44" i="5"/>
  <c r="M44" i="5" a="1"/>
  <c r="M44" i="5" s="1"/>
  <c r="O43" i="5"/>
  <c r="N43" i="5"/>
  <c r="M43" i="5" a="1"/>
  <c r="M43" i="5" s="1"/>
  <c r="O42" i="5"/>
  <c r="N42" i="5"/>
  <c r="M42" i="5" a="1"/>
  <c r="M42" i="5" s="1"/>
  <c r="O41" i="5"/>
  <c r="N41" i="5"/>
  <c r="M41" i="5" a="1"/>
  <c r="M41" i="5" s="1"/>
  <c r="O34" i="5"/>
  <c r="N34" i="5"/>
  <c r="M34" i="5" a="1"/>
  <c r="M34" i="5" s="1"/>
  <c r="O33" i="5"/>
  <c r="N33" i="5"/>
  <c r="M33" i="5" a="1"/>
  <c r="M33" i="5" s="1"/>
  <c r="O32" i="5"/>
  <c r="N32" i="5"/>
  <c r="M32" i="5" a="1"/>
  <c r="M32" i="5" s="1"/>
  <c r="O31" i="5"/>
  <c r="N31" i="5"/>
  <c r="M31" i="5" a="1"/>
  <c r="M31" i="5" s="1"/>
  <c r="O30" i="5"/>
  <c r="N30" i="5"/>
  <c r="M30" i="5" a="1"/>
  <c r="M30" i="5" s="1"/>
  <c r="O29" i="5"/>
  <c r="N29" i="5"/>
  <c r="M29" i="5" a="1"/>
  <c r="M29" i="5" s="1"/>
  <c r="O28" i="5"/>
  <c r="N28" i="5"/>
  <c r="M28" i="5" a="1"/>
  <c r="M28" i="5" s="1"/>
  <c r="O27" i="5"/>
  <c r="N27" i="5"/>
  <c r="M27" i="5" a="1"/>
  <c r="M27" i="5" s="1"/>
  <c r="O26" i="5"/>
  <c r="N26" i="5"/>
  <c r="M26" i="5" a="1"/>
  <c r="M26" i="5" s="1"/>
  <c r="O25" i="5"/>
  <c r="N25" i="5"/>
  <c r="M25" i="5" a="1"/>
  <c r="M25" i="5" s="1"/>
  <c r="O24" i="5"/>
  <c r="N24" i="5"/>
  <c r="M24" i="5" a="1"/>
  <c r="M24" i="5" s="1"/>
  <c r="O23" i="5"/>
  <c r="N23" i="5"/>
  <c r="M23" i="5" a="1"/>
  <c r="M23" i="5" s="1"/>
  <c r="O22" i="5"/>
  <c r="N22" i="5"/>
  <c r="M22" i="5" a="1"/>
  <c r="M22" i="5" s="1"/>
  <c r="O21" i="5"/>
  <c r="N21" i="5"/>
  <c r="M21" i="5" a="1"/>
  <c r="M21" i="5" s="1"/>
  <c r="O20" i="5"/>
  <c r="N20" i="5"/>
  <c r="M20" i="5" a="1"/>
  <c r="M20" i="5" s="1"/>
  <c r="O19" i="5"/>
  <c r="N19" i="5"/>
  <c r="M19" i="5" a="1"/>
  <c r="M19" i="5" s="1"/>
  <c r="O18" i="5"/>
  <c r="N18" i="5"/>
  <c r="M18" i="5" a="1"/>
  <c r="M18" i="5" s="1"/>
  <c r="O17" i="5"/>
  <c r="N17" i="5"/>
  <c r="M17" i="5" a="1"/>
  <c r="M17" i="5" s="1"/>
  <c r="O16" i="5"/>
  <c r="N16" i="5"/>
  <c r="M16" i="5" a="1"/>
  <c r="M16" i="5" s="1"/>
  <c r="O15" i="5"/>
  <c r="N15" i="5"/>
  <c r="M15" i="5" a="1"/>
  <c r="M15" i="5" s="1"/>
  <c r="O14" i="5"/>
  <c r="N14" i="5"/>
  <c r="M14" i="5" a="1"/>
  <c r="M14" i="5" s="1"/>
  <c r="O13" i="5"/>
  <c r="N13" i="5"/>
  <c r="M13" i="5" a="1"/>
  <c r="M13" i="5" s="1"/>
  <c r="O12" i="5"/>
  <c r="N12" i="5"/>
  <c r="M12" i="5" a="1"/>
  <c r="M12" i="5" s="1"/>
  <c r="O11" i="5"/>
  <c r="N11" i="5"/>
  <c r="M11" i="5" a="1"/>
  <c r="M11" i="5" s="1"/>
  <c r="O10" i="5"/>
  <c r="N10" i="5"/>
  <c r="M10" i="5" a="1"/>
  <c r="M10" i="5" s="1"/>
  <c r="O9" i="5"/>
  <c r="N9" i="5"/>
  <c r="M9" i="5" a="1"/>
  <c r="M9" i="5" s="1"/>
  <c r="O8" i="5"/>
  <c r="N8" i="5"/>
  <c r="M8" i="5" a="1"/>
  <c r="M8" i="5" s="1"/>
  <c r="O7" i="5"/>
  <c r="N7" i="5"/>
  <c r="M7" i="5" a="1"/>
  <c r="M7" i="5" s="1"/>
  <c r="O6" i="5"/>
  <c r="N6" i="5"/>
  <c r="M6" i="5" a="1"/>
  <c r="M6" i="5" s="1"/>
  <c r="O5" i="5"/>
  <c r="N5" i="5"/>
  <c r="M5" i="5" a="1"/>
  <c r="M5" i="5" s="1"/>
  <c r="O4" i="5"/>
  <c r="N4" i="5"/>
  <c r="M4" i="5" a="1"/>
  <c r="M4" i="5" s="1"/>
  <c r="D55" i="5"/>
  <c r="D54" i="5"/>
  <c r="D53" i="5"/>
  <c r="D52" i="5"/>
  <c r="D51" i="5"/>
  <c r="D50" i="5"/>
  <c r="D49" i="5"/>
  <c r="D48" i="5"/>
  <c r="D47" i="5"/>
  <c r="D46" i="5"/>
  <c r="D45" i="5"/>
  <c r="D44" i="5"/>
  <c r="D43" i="5"/>
  <c r="D42"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A42" i="4" a="1"/>
  <c r="A42" i="4" s="1"/>
  <c r="A61" i="15" a="1"/>
  <c r="A61" i="15" s="1"/>
  <c r="A60" i="15" a="1"/>
  <c r="A60" i="15" s="1"/>
  <c r="A59" i="15" a="1"/>
  <c r="A59" i="15" s="1"/>
  <c r="A58" i="15" a="1"/>
  <c r="A58" i="15" s="1"/>
  <c r="A57" i="15" a="1"/>
  <c r="A57" i="15" s="1"/>
  <c r="A56" i="15" a="1"/>
  <c r="A56" i="15" s="1"/>
  <c r="A55" i="15" a="1"/>
  <c r="A55" i="15" s="1"/>
  <c r="AU27" i="20"/>
  <c r="P18" i="5" a="1"/>
  <c r="P41" i="5" a="1"/>
  <c r="P9" i="5" a="1"/>
  <c r="P44" i="5" a="1"/>
  <c r="P46" i="5" a="1"/>
  <c r="P50" i="5" a="1"/>
  <c r="AI10" i="21" a="1"/>
  <c r="P29" i="5" a="1"/>
  <c r="P26" i="5" a="1"/>
  <c r="P34" i="5" a="1"/>
  <c r="P10" i="5" a="1"/>
  <c r="AI14" i="21" a="1"/>
  <c r="P43" i="5" a="1"/>
  <c r="P47" i="5" a="1"/>
  <c r="P42" i="5" a="1"/>
  <c r="P54" i="5" a="1"/>
  <c r="P25" i="5" a="1"/>
  <c r="P22" i="5" a="1"/>
  <c r="A11" i="8" a="1"/>
  <c r="P32" i="5" a="1"/>
  <c r="P28" i="5" a="1"/>
  <c r="P31" i="5" a="1"/>
  <c r="P16" i="5" a="1"/>
  <c r="AI5" i="21" a="1"/>
  <c r="P49" i="5" a="1"/>
  <c r="P45" i="5" a="1"/>
  <c r="P5" i="5" a="1"/>
  <c r="P23" i="5" a="1"/>
  <c r="P52" i="5" a="1"/>
  <c r="AI6" i="21" a="1"/>
  <c r="P21" i="5" a="1"/>
  <c r="AI9" i="21" a="1"/>
  <c r="P17" i="5" a="1"/>
  <c r="AI13" i="21" a="1"/>
  <c r="P4" i="5" a="1"/>
  <c r="P19" i="5" a="1"/>
  <c r="P14" i="5" a="1"/>
  <c r="P38" i="5" a="1"/>
  <c r="AI7" i="21" a="1"/>
  <c r="P40" i="5" a="1"/>
  <c r="P55" i="5" a="1"/>
  <c r="P13" i="5" a="1"/>
  <c r="P51" i="5" a="1"/>
  <c r="AI8" i="21" a="1"/>
  <c r="AI12" i="21" a="1"/>
  <c r="P6" i="5" a="1"/>
  <c r="P8" i="5" a="1"/>
  <c r="P20" i="5" a="1"/>
  <c r="P12" i="5" a="1"/>
  <c r="P7" i="5" a="1"/>
  <c r="P36" i="5" a="1"/>
  <c r="P53" i="5" a="1"/>
  <c r="P15" i="5" a="1"/>
  <c r="P11" i="5" a="1"/>
  <c r="AI15" i="21" a="1"/>
  <c r="P30" i="5" a="1"/>
  <c r="P24" i="5" a="1"/>
  <c r="P27" i="5" a="1"/>
  <c r="P33" i="5" a="1"/>
  <c r="P39" i="5" a="1"/>
  <c r="P35" i="5" a="1"/>
  <c r="P48" i="5" a="1"/>
  <c r="P37" i="5" a="1"/>
  <c r="AI7" i="21" l="1"/>
  <c r="AI10" i="21"/>
  <c r="AI8" i="21"/>
  <c r="AI9" i="21"/>
  <c r="AI12" i="21"/>
  <c r="AI13" i="21"/>
  <c r="AI14" i="21"/>
  <c r="AI15" i="21"/>
  <c r="AI5" i="21"/>
  <c r="AI6" i="21"/>
  <c r="BD7" i="3" a="1"/>
  <c r="BD7" i="3" s="1"/>
  <c r="BD9" i="3" a="1"/>
  <c r="BD9" i="3" s="1"/>
  <c r="BD8" i="3" a="1"/>
  <c r="BD8" i="3" s="1"/>
  <c r="BD12" i="3" a="1"/>
  <c r="BD12" i="3" s="1"/>
  <c r="BD4" i="3" a="1"/>
  <c r="BD4" i="3" s="1"/>
  <c r="A11" i="8"/>
  <c r="P40" i="5"/>
  <c r="P38" i="5"/>
  <c r="P39" i="5"/>
  <c r="P37" i="5"/>
  <c r="P35" i="5"/>
  <c r="P36" i="5"/>
  <c r="P5" i="5"/>
  <c r="P7" i="5"/>
  <c r="P9" i="5"/>
  <c r="P11" i="5"/>
  <c r="P13" i="5"/>
  <c r="P15" i="5"/>
  <c r="P17" i="5"/>
  <c r="P19" i="5"/>
  <c r="P21" i="5"/>
  <c r="P23" i="5"/>
  <c r="P25" i="5"/>
  <c r="P27" i="5"/>
  <c r="P29" i="5"/>
  <c r="P31" i="5"/>
  <c r="P33" i="5"/>
  <c r="P41" i="5"/>
  <c r="P43" i="5"/>
  <c r="P45" i="5"/>
  <c r="P47" i="5"/>
  <c r="P49" i="5"/>
  <c r="P51" i="5"/>
  <c r="P53" i="5"/>
  <c r="P55" i="5"/>
  <c r="P4" i="5"/>
  <c r="P6" i="5"/>
  <c r="P8" i="5"/>
  <c r="P10" i="5"/>
  <c r="P12" i="5"/>
  <c r="P14" i="5"/>
  <c r="P16" i="5"/>
  <c r="P18" i="5"/>
  <c r="P20" i="5"/>
  <c r="P22" i="5"/>
  <c r="P24" i="5"/>
  <c r="P26" i="5"/>
  <c r="P28" i="5"/>
  <c r="P30" i="5"/>
  <c r="P32" i="5"/>
  <c r="P34" i="5"/>
  <c r="P42" i="5"/>
  <c r="P44" i="5"/>
  <c r="P46" i="5"/>
  <c r="P48" i="5"/>
  <c r="P50" i="5"/>
  <c r="P52" i="5"/>
  <c r="P54" i="5"/>
  <c r="AW27" i="20"/>
  <c r="AV27" i="20"/>
  <c r="AT27" i="20"/>
  <c r="AS27" i="20"/>
  <c r="AR27" i="20"/>
  <c r="AQ27" i="20"/>
  <c r="A54" i="15" a="1"/>
  <c r="A54" i="15" s="1"/>
  <c r="A53" i="15" a="1"/>
  <c r="A53" i="15" s="1"/>
  <c r="A52" i="15" a="1"/>
  <c r="A52" i="15" s="1"/>
  <c r="A51" i="15" a="1"/>
  <c r="A51" i="15" s="1"/>
  <c r="A50" i="15" a="1"/>
  <c r="A50" i="15" s="1"/>
  <c r="A42" i="15" a="1"/>
  <c r="A42" i="15" s="1"/>
  <c r="A55" i="4" a="1"/>
  <c r="A55" i="4" s="1"/>
  <c r="A54" i="4" a="1"/>
  <c r="A54" i="4" s="1"/>
  <c r="A53" i="4" a="1"/>
  <c r="A53" i="4" s="1"/>
  <c r="A52" i="4" a="1"/>
  <c r="A52" i="4" s="1"/>
  <c r="A51" i="4" a="1"/>
  <c r="A51" i="4" s="1"/>
  <c r="A50" i="4" a="1"/>
  <c r="A50" i="4" s="1"/>
  <c r="N46" i="2" a="1"/>
  <c r="K47" i="2" a="1"/>
  <c r="L46" i="2" a="1"/>
  <c r="N47" i="2" a="1"/>
  <c r="L47" i="2" a="1"/>
  <c r="O47" i="2" a="1"/>
  <c r="M47" i="2" a="1"/>
  <c r="M46" i="2" a="1"/>
  <c r="P46" i="2" a="1"/>
  <c r="O46" i="2" a="1"/>
  <c r="P47" i="2" a="1"/>
  <c r="K46" i="2" a="1"/>
  <c r="P46" i="2" l="1"/>
  <c r="O47" i="2"/>
  <c r="O46" i="2"/>
  <c r="P47" i="2"/>
  <c r="N47" i="2"/>
  <c r="N46" i="2"/>
  <c r="M47" i="2"/>
  <c r="M46" i="2"/>
  <c r="L47" i="2"/>
  <c r="L46" i="2"/>
  <c r="K47" i="2"/>
  <c r="K46" i="2"/>
  <c r="AA4" i="21"/>
  <c r="AT27" i="21"/>
  <c r="AS27" i="21"/>
  <c r="AR27" i="21"/>
  <c r="AQ27" i="21"/>
  <c r="AP27" i="21"/>
  <c r="AO27" i="21"/>
  <c r="AN27" i="21"/>
  <c r="AM27" i="21"/>
  <c r="AL27" i="21"/>
  <c r="AK27" i="21"/>
  <c r="AT26" i="21"/>
  <c r="AS26" i="21"/>
  <c r="AP26" i="21"/>
  <c r="AO26" i="21"/>
  <c r="AN26" i="21"/>
  <c r="AM26" i="21"/>
  <c r="AL26" i="21"/>
  <c r="AK26" i="21"/>
  <c r="AT25" i="21"/>
  <c r="AS25" i="21"/>
  <c r="AR25" i="21"/>
  <c r="AQ25" i="21"/>
  <c r="AP25" i="21"/>
  <c r="AO25" i="21"/>
  <c r="AN25" i="21"/>
  <c r="AM25" i="21"/>
  <c r="AL25" i="21"/>
  <c r="AK25" i="21"/>
  <c r="AT24" i="21"/>
  <c r="AS24" i="21"/>
  <c r="AR24" i="21"/>
  <c r="AQ24" i="21"/>
  <c r="AO24" i="21"/>
  <c r="AN24" i="21"/>
  <c r="AM24" i="21"/>
  <c r="AL24" i="21"/>
  <c r="AK24" i="21"/>
  <c r="AT23" i="21"/>
  <c r="AS23" i="21"/>
  <c r="AR23" i="21"/>
  <c r="AQ23" i="21"/>
  <c r="AP23" i="21"/>
  <c r="AO23" i="21"/>
  <c r="AN23" i="21"/>
  <c r="AM23" i="21"/>
  <c r="AL23" i="21"/>
  <c r="AK23" i="21"/>
  <c r="AT22" i="21"/>
  <c r="AS22" i="21"/>
  <c r="AR22" i="21"/>
  <c r="AQ22" i="21"/>
  <c r="AP22" i="21"/>
  <c r="AO22" i="21"/>
  <c r="AN22" i="21"/>
  <c r="AM22" i="21"/>
  <c r="AL22" i="21"/>
  <c r="AK22" i="21"/>
  <c r="AT21" i="21"/>
  <c r="AS21" i="21"/>
  <c r="AR21" i="21"/>
  <c r="AQ21" i="21"/>
  <c r="AP21" i="21"/>
  <c r="AO21" i="21"/>
  <c r="AN21" i="21"/>
  <c r="AM21" i="21"/>
  <c r="AL21" i="21"/>
  <c r="AK21" i="21"/>
  <c r="AT20" i="21"/>
  <c r="AS20" i="21"/>
  <c r="AR20" i="21"/>
  <c r="AQ20" i="21"/>
  <c r="AP20" i="21"/>
  <c r="AO20" i="21"/>
  <c r="AN20" i="21"/>
  <c r="AM20" i="21"/>
  <c r="AL20" i="21"/>
  <c r="AK20" i="21"/>
  <c r="AT19" i="21"/>
  <c r="AS19" i="21"/>
  <c r="AR19" i="21"/>
  <c r="AQ19" i="21"/>
  <c r="AP19" i="21"/>
  <c r="AO19" i="21"/>
  <c r="AN19" i="21"/>
  <c r="AM19" i="21"/>
  <c r="AL19" i="21"/>
  <c r="AK19" i="21"/>
  <c r="AT18" i="21"/>
  <c r="AS18" i="21"/>
  <c r="AR18" i="21"/>
  <c r="AQ18" i="21"/>
  <c r="AP18" i="21"/>
  <c r="AO18" i="21"/>
  <c r="AN18" i="21"/>
  <c r="AM18" i="21"/>
  <c r="AL18" i="21"/>
  <c r="AK18" i="21"/>
  <c r="AT17" i="21"/>
  <c r="AS17" i="21"/>
  <c r="AR17" i="21"/>
  <c r="AQ17" i="21"/>
  <c r="AO17" i="21"/>
  <c r="AN17" i="21"/>
  <c r="AM17" i="21"/>
  <c r="AL17" i="21"/>
  <c r="AK17" i="21"/>
  <c r="AT16" i="21"/>
  <c r="AS16" i="21"/>
  <c r="AR16" i="21"/>
  <c r="AQ16" i="21"/>
  <c r="AP16" i="21"/>
  <c r="AO16" i="21"/>
  <c r="AN16" i="21"/>
  <c r="AM16" i="21"/>
  <c r="AL16" i="21"/>
  <c r="AK16" i="21"/>
  <c r="CQ15" i="21"/>
  <c r="CP15" i="21"/>
  <c r="CO15" i="21"/>
  <c r="CN15" i="21"/>
  <c r="CM15" i="21"/>
  <c r="CL15" i="21"/>
  <c r="CK15" i="21"/>
  <c r="CJ15" i="21"/>
  <c r="CI15" i="21"/>
  <c r="AT15" i="21"/>
  <c r="AS15" i="21"/>
  <c r="AR15" i="21"/>
  <c r="AQ15" i="21"/>
  <c r="AP15" i="21"/>
  <c r="AO15" i="21"/>
  <c r="AN15" i="21"/>
  <c r="AM15" i="21"/>
  <c r="AL15" i="21"/>
  <c r="CQ14" i="21"/>
  <c r="CP14" i="21"/>
  <c r="CO14" i="21"/>
  <c r="CN14" i="21"/>
  <c r="CM14" i="21"/>
  <c r="CL14" i="21"/>
  <c r="CK14" i="21"/>
  <c r="CJ14" i="21"/>
  <c r="CI14" i="21"/>
  <c r="AT14" i="21"/>
  <c r="AS14" i="21"/>
  <c r="AR14" i="21"/>
  <c r="AQ14" i="21"/>
  <c r="AP14" i="21"/>
  <c r="AN14" i="21"/>
  <c r="AM14" i="21"/>
  <c r="AL14" i="21"/>
  <c r="AK14" i="21"/>
  <c r="CQ13" i="21"/>
  <c r="CP13" i="21"/>
  <c r="CO13" i="21"/>
  <c r="CN13" i="21"/>
  <c r="CM13" i="21"/>
  <c r="CL13" i="21"/>
  <c r="CK13" i="21"/>
  <c r="CJ13" i="21"/>
  <c r="CI13" i="21"/>
  <c r="AT13" i="21"/>
  <c r="AS13" i="21"/>
  <c r="AR13" i="21"/>
  <c r="AQ13" i="21"/>
  <c r="AP13" i="21"/>
  <c r="AO13" i="21"/>
  <c r="AN13" i="21"/>
  <c r="AM13" i="21"/>
  <c r="AL13" i="21"/>
  <c r="CQ12" i="21"/>
  <c r="CP12" i="21"/>
  <c r="CO12" i="21"/>
  <c r="CN12" i="21"/>
  <c r="CM12" i="21"/>
  <c r="CL12" i="21"/>
  <c r="CK12" i="21"/>
  <c r="CJ12" i="21"/>
  <c r="CI12" i="21"/>
  <c r="AT12" i="21"/>
  <c r="AS12" i="21"/>
  <c r="AR12" i="21"/>
  <c r="AQ12" i="21"/>
  <c r="AP12" i="21"/>
  <c r="AO12" i="21"/>
  <c r="AN12" i="21"/>
  <c r="AM12" i="21"/>
  <c r="AL12" i="21"/>
  <c r="AK12" i="21"/>
  <c r="CQ11" i="21"/>
  <c r="CP11" i="21"/>
  <c r="CO11" i="21"/>
  <c r="CN11" i="21"/>
  <c r="CM11" i="21"/>
  <c r="CL11" i="21"/>
  <c r="CK11" i="21"/>
  <c r="CJ11" i="21"/>
  <c r="CI11" i="21"/>
  <c r="AT11" i="21"/>
  <c r="AS11" i="21"/>
  <c r="AR11" i="21"/>
  <c r="AQ11" i="21"/>
  <c r="AP11" i="21"/>
  <c r="AO11" i="21"/>
  <c r="AN11" i="21"/>
  <c r="AM11" i="21"/>
  <c r="AL11" i="21"/>
  <c r="AK11" i="21"/>
  <c r="CQ10" i="21"/>
  <c r="CP10" i="21"/>
  <c r="CO10" i="21"/>
  <c r="CN10" i="21"/>
  <c r="CM10" i="21"/>
  <c r="CL10" i="21"/>
  <c r="CK10" i="21"/>
  <c r="CJ10" i="21"/>
  <c r="CI10" i="21"/>
  <c r="AT10" i="21"/>
  <c r="AS10" i="21"/>
  <c r="AR10" i="21"/>
  <c r="AQ10" i="21"/>
  <c r="AP10" i="21"/>
  <c r="AO10" i="21"/>
  <c r="AN10" i="21"/>
  <c r="AM10" i="21"/>
  <c r="AL10" i="21"/>
  <c r="AK10" i="21"/>
  <c r="CQ9" i="21"/>
  <c r="CP9" i="21"/>
  <c r="CO9" i="21"/>
  <c r="CN9" i="21"/>
  <c r="CM9" i="21"/>
  <c r="CL9" i="21"/>
  <c r="CK9" i="21"/>
  <c r="CJ9" i="21"/>
  <c r="CI9" i="21"/>
  <c r="AT9" i="21"/>
  <c r="AS9" i="21"/>
  <c r="AR9" i="21"/>
  <c r="AQ9" i="21"/>
  <c r="AP9" i="21"/>
  <c r="AO9" i="21"/>
  <c r="AN9" i="21"/>
  <c r="AM9" i="21"/>
  <c r="AL9" i="21"/>
  <c r="AK9" i="21"/>
  <c r="CQ8" i="21"/>
  <c r="CP8" i="21"/>
  <c r="CO8" i="21"/>
  <c r="CN8" i="21"/>
  <c r="CM8" i="21"/>
  <c r="CL8" i="21"/>
  <c r="CK8" i="21"/>
  <c r="CJ8" i="21"/>
  <c r="CI8" i="21"/>
  <c r="AT8" i="21"/>
  <c r="AS8" i="21"/>
  <c r="AR8" i="21"/>
  <c r="AO8" i="21"/>
  <c r="AN8" i="21"/>
  <c r="AM8" i="21"/>
  <c r="AL8" i="21"/>
  <c r="AK8" i="21"/>
  <c r="CQ7" i="21"/>
  <c r="CP7" i="21"/>
  <c r="CO7" i="21"/>
  <c r="CN7" i="21"/>
  <c r="CM7" i="21"/>
  <c r="CL7" i="21"/>
  <c r="CK7" i="21"/>
  <c r="CJ7" i="21"/>
  <c r="CI7" i="21"/>
  <c r="AT7" i="21"/>
  <c r="AS7" i="21"/>
  <c r="AR7" i="21"/>
  <c r="AQ7" i="21"/>
  <c r="AP7" i="21"/>
  <c r="AO7" i="21"/>
  <c r="AN7" i="21"/>
  <c r="AM7" i="21"/>
  <c r="AL7" i="21"/>
  <c r="AK7" i="21"/>
  <c r="CQ6" i="21"/>
  <c r="CP6" i="21"/>
  <c r="CO6" i="21"/>
  <c r="CN6" i="21"/>
  <c r="CM6" i="21"/>
  <c r="CL6" i="21"/>
  <c r="CK6" i="21"/>
  <c r="CJ6" i="21"/>
  <c r="CI6" i="21"/>
  <c r="AT6" i="21"/>
  <c r="AS6" i="21"/>
  <c r="AR6" i="21"/>
  <c r="AQ6" i="21"/>
  <c r="AP6" i="21"/>
  <c r="AO6" i="21"/>
  <c r="AN6" i="21"/>
  <c r="AM6" i="21"/>
  <c r="AL6" i="21"/>
  <c r="AK6" i="21"/>
  <c r="CQ5" i="21"/>
  <c r="CP5" i="21"/>
  <c r="CO5" i="21"/>
  <c r="CN5" i="21"/>
  <c r="CM5" i="21"/>
  <c r="CL5" i="21"/>
  <c r="CK5" i="21"/>
  <c r="CJ5" i="21"/>
  <c r="CI5" i="21"/>
  <c r="AT5" i="21"/>
  <c r="AS5" i="21"/>
  <c r="AR5" i="21"/>
  <c r="AQ5" i="21"/>
  <c r="AP5" i="21"/>
  <c r="AO5" i="21"/>
  <c r="AN5" i="21"/>
  <c r="AM5" i="21"/>
  <c r="AL5" i="21"/>
  <c r="AK5" i="21"/>
  <c r="A41" i="15" a="1"/>
  <c r="A41" i="15" s="1"/>
  <c r="A40" i="15" a="1"/>
  <c r="A40" i="15" s="1"/>
  <c r="A39" i="15" a="1"/>
  <c r="A39" i="15" s="1"/>
  <c r="A38" i="15" a="1"/>
  <c r="A38" i="15" s="1"/>
  <c r="A37" i="15" a="1"/>
  <c r="A37" i="15" s="1"/>
  <c r="A36" i="15" a="1"/>
  <c r="A36" i="15" s="1"/>
  <c r="A35" i="15" a="1"/>
  <c r="A35" i="15" s="1"/>
  <c r="A34" i="15" a="1"/>
  <c r="A34" i="15" s="1"/>
  <c r="A33" i="15" a="1"/>
  <c r="A33" i="15" s="1"/>
  <c r="A32" i="15" a="1"/>
  <c r="A32" i="15" s="1"/>
  <c r="A31" i="15" a="1"/>
  <c r="A31" i="15" s="1"/>
  <c r="A30" i="15" a="1"/>
  <c r="A30" i="15" s="1"/>
  <c r="A29" i="15" a="1"/>
  <c r="A29" i="15" s="1"/>
  <c r="A28" i="15" a="1"/>
  <c r="A28" i="15" s="1"/>
  <c r="A27" i="15" a="1"/>
  <c r="A27" i="15" s="1"/>
  <c r="A26" i="15" a="1"/>
  <c r="A26" i="15" s="1"/>
  <c r="A25" i="15" a="1"/>
  <c r="A25" i="15" s="1"/>
  <c r="A24" i="15" a="1"/>
  <c r="A24" i="15" s="1"/>
  <c r="A23" i="15" a="1"/>
  <c r="A23" i="15" s="1"/>
  <c r="A22" i="15" a="1"/>
  <c r="A22" i="15" s="1"/>
  <c r="A21" i="15" a="1"/>
  <c r="A21" i="15" s="1"/>
  <c r="A20" i="15" a="1"/>
  <c r="A20" i="15" s="1"/>
  <c r="A19" i="15" a="1"/>
  <c r="A19" i="15" s="1"/>
  <c r="A18" i="15" a="1"/>
  <c r="A18" i="15" s="1"/>
  <c r="A17" i="15" a="1"/>
  <c r="A17" i="15" s="1"/>
  <c r="A16" i="15" a="1"/>
  <c r="A16" i="15" s="1"/>
  <c r="A15" i="15" a="1"/>
  <c r="A15" i="15" s="1"/>
  <c r="A14" i="15" a="1"/>
  <c r="A14" i="15" s="1"/>
  <c r="A13" i="15" a="1"/>
  <c r="A13" i="15" s="1"/>
  <c r="A12" i="15" a="1"/>
  <c r="A12" i="15" s="1"/>
  <c r="A11" i="15" a="1"/>
  <c r="A11" i="15" s="1"/>
  <c r="A10" i="15" a="1"/>
  <c r="A10" i="15" s="1"/>
  <c r="A9" i="15" a="1"/>
  <c r="A9" i="15" s="1"/>
  <c r="A8" i="15" a="1"/>
  <c r="A8" i="15" s="1"/>
  <c r="A7" i="15" a="1"/>
  <c r="A7" i="15" s="1"/>
  <c r="D27" i="20"/>
  <c r="E27" i="20"/>
  <c r="F27" i="20"/>
  <c r="H27" i="20"/>
  <c r="I27" i="20"/>
  <c r="J27" i="20"/>
  <c r="K27" i="20"/>
  <c r="L27" i="20"/>
  <c r="M27" i="20"/>
  <c r="N27" i="20"/>
  <c r="O27" i="20"/>
  <c r="P27" i="20"/>
  <c r="Q27" i="20"/>
  <c r="R27" i="20"/>
  <c r="S27" i="20"/>
  <c r="T27" i="20"/>
  <c r="U27" i="20"/>
  <c r="V27" i="20"/>
  <c r="W27" i="20"/>
  <c r="X27" i="20"/>
  <c r="Y27" i="20"/>
  <c r="Z27" i="20"/>
  <c r="AA27" i="20"/>
  <c r="AB27" i="20"/>
  <c r="AC27" i="20"/>
  <c r="AD27" i="20"/>
  <c r="AE27" i="20"/>
  <c r="AI27" i="20"/>
  <c r="AK27" i="20"/>
  <c r="AL27" i="20"/>
  <c r="AM27" i="20"/>
  <c r="AN27" i="20"/>
  <c r="AO27" i="20"/>
  <c r="AP27" i="20"/>
  <c r="AI4" i="21" a="1"/>
  <c r="AI4" i="21" l="1"/>
  <c r="AI28" i="21" s="1"/>
  <c r="B1" i="19"/>
  <c r="J9" i="1"/>
  <c r="I9" i="1"/>
  <c r="I11" i="1"/>
  <c r="J11" i="1"/>
  <c r="J4" i="1"/>
  <c r="I4" i="1"/>
  <c r="J6" i="1"/>
  <c r="I6" i="1"/>
  <c r="J8" i="1"/>
  <c r="I8" i="1"/>
  <c r="J10" i="1"/>
  <c r="I10" i="1"/>
  <c r="J5" i="1"/>
  <c r="I5" i="1"/>
  <c r="BC17" i="21"/>
  <c r="AV18" i="21"/>
  <c r="BA19" i="21"/>
  <c r="AW23" i="21"/>
  <c r="BC12" i="21"/>
  <c r="BC16" i="21"/>
  <c r="BB18" i="21"/>
  <c r="AU19" i="21"/>
  <c r="AX22" i="21"/>
  <c r="BC23" i="21"/>
  <c r="AX18" i="21"/>
  <c r="BC19" i="21"/>
  <c r="BA21" i="21"/>
  <c r="AY23" i="21"/>
  <c r="AY19" i="21"/>
  <c r="AW21" i="21"/>
  <c r="BB22" i="21"/>
  <c r="AU23" i="21"/>
  <c r="AW17" i="21"/>
  <c r="BA17" i="21"/>
  <c r="AY18" i="21"/>
  <c r="BB21" i="21"/>
  <c r="AU22" i="21"/>
  <c r="AZ23" i="21"/>
  <c r="BA18" i="21"/>
  <c r="AW22" i="21"/>
  <c r="BB23" i="21"/>
  <c r="BC18" i="21"/>
  <c r="AV19" i="21"/>
  <c r="AV16" i="21"/>
  <c r="BA16" i="21"/>
  <c r="AV17" i="21"/>
  <c r="AY22" i="21"/>
  <c r="AX17" i="21"/>
  <c r="AW19" i="21"/>
  <c r="AU21" i="21"/>
  <c r="AZ22" i="21"/>
  <c r="AY21" i="21"/>
  <c r="AX16" i="21"/>
  <c r="AY16" i="21"/>
  <c r="AW18" i="21"/>
  <c r="BB19" i="21"/>
  <c r="AZ21" i="21"/>
  <c r="AX23" i="21"/>
  <c r="AZ16" i="21"/>
  <c r="BB16" i="21"/>
  <c r="AU17" i="21"/>
  <c r="AZ18" i="21"/>
  <c r="BC21" i="21"/>
  <c r="AV22" i="21"/>
  <c r="BA23" i="21"/>
  <c r="BC25" i="21"/>
  <c r="AU16" i="21"/>
  <c r="AX19" i="21"/>
  <c r="AV21" i="21"/>
  <c r="BA22" i="21"/>
  <c r="AU12" i="21"/>
  <c r="AW16" i="21"/>
  <c r="BB17" i="21"/>
  <c r="AU18" i="21"/>
  <c r="AZ19" i="21"/>
  <c r="AX21" i="21"/>
  <c r="BC22" i="21"/>
  <c r="AV23" i="21"/>
  <c r="AU25" i="21"/>
  <c r="AX25" i="21"/>
  <c r="AV12" i="21"/>
  <c r="AZ15" i="21"/>
  <c r="AV25" i="21"/>
  <c r="AX12" i="21"/>
  <c r="AY12" i="21"/>
  <c r="BA25" i="21"/>
  <c r="BB25" i="21"/>
  <c r="BC15" i="21"/>
  <c r="BB15" i="21"/>
  <c r="BA15" i="21"/>
  <c r="AY15" i="21"/>
  <c r="AX15" i="21"/>
  <c r="AW15" i="21"/>
  <c r="AV15" i="21"/>
  <c r="AW14" i="21"/>
  <c r="AW25" i="21"/>
  <c r="AY25" i="21"/>
  <c r="AZ25" i="21"/>
  <c r="BA12" i="21"/>
  <c r="BB12" i="21"/>
  <c r="BC14" i="21"/>
  <c r="AV10" i="21"/>
  <c r="AZ12" i="21"/>
  <c r="AW12" i="21"/>
  <c r="AZ14" i="21"/>
  <c r="AV14" i="21"/>
  <c r="BA14" i="21"/>
  <c r="BB14" i="21"/>
  <c r="AU14" i="21"/>
  <c r="AV20" i="21"/>
  <c r="AX7" i="21"/>
  <c r="AY13" i="21"/>
  <c r="AU11" i="21"/>
  <c r="BB20" i="21"/>
  <c r="BC26" i="21"/>
  <c r="AY20" i="21"/>
  <c r="AU20" i="21"/>
  <c r="AW20" i="21"/>
  <c r="BA20" i="21"/>
  <c r="BC20" i="21"/>
  <c r="AX20" i="21"/>
  <c r="AZ20" i="21"/>
  <c r="AZ10" i="21"/>
  <c r="BC11" i="21"/>
  <c r="BC27" i="21"/>
  <c r="BB24" i="21"/>
  <c r="BC13" i="21"/>
  <c r="AW6" i="21"/>
  <c r="AV5" i="21"/>
  <c r="AU7" i="21"/>
  <c r="AZ7" i="21"/>
  <c r="BC10" i="21"/>
  <c r="AU5" i="21"/>
  <c r="AY11" i="21"/>
  <c r="AU26" i="21"/>
  <c r="BA10" i="21"/>
  <c r="AY5" i="21"/>
  <c r="AW7" i="21"/>
  <c r="AW24" i="21"/>
  <c r="AU27" i="21"/>
  <c r="AV6" i="21"/>
  <c r="AY9" i="21"/>
  <c r="BC7" i="21"/>
  <c r="AU8" i="21"/>
  <c r="AW8" i="21"/>
  <c r="BB11" i="21"/>
  <c r="AW5" i="21"/>
  <c r="BB6" i="21"/>
  <c r="BC9" i="21"/>
  <c r="AX11" i="21"/>
  <c r="AV27" i="21"/>
  <c r="AZ9" i="21"/>
  <c r="AW10" i="21"/>
  <c r="AW26" i="21"/>
  <c r="AY27" i="21"/>
  <c r="AU6" i="21"/>
  <c r="BC8" i="21"/>
  <c r="AU24" i="21"/>
  <c r="AV9" i="21"/>
  <c r="AX13" i="21"/>
  <c r="AV24" i="21"/>
  <c r="AX24" i="21"/>
  <c r="AZ6" i="21"/>
  <c r="AV8" i="21"/>
  <c r="BA9" i="21"/>
  <c r="AW11" i="21"/>
  <c r="AX5" i="21"/>
  <c r="BA6" i="21"/>
  <c r="AY10" i="21"/>
  <c r="BC24" i="21"/>
  <c r="BA27" i="21"/>
  <c r="AZ11" i="21"/>
  <c r="AZ5" i="21"/>
  <c r="BC6" i="21"/>
  <c r="BA11" i="21"/>
  <c r="AZ13" i="21"/>
  <c r="BA13" i="21"/>
  <c r="BC5" i="21"/>
  <c r="AV7" i="21"/>
  <c r="AX8" i="21"/>
  <c r="BB10" i="21"/>
  <c r="BB13" i="21"/>
  <c r="BB27" i="21"/>
  <c r="AY7" i="21"/>
  <c r="AX10" i="21"/>
  <c r="AV26" i="21"/>
  <c r="BB9" i="21"/>
  <c r="AX27" i="21"/>
  <c r="AY6" i="21"/>
  <c r="AU9" i="21"/>
  <c r="AW13" i="21"/>
  <c r="BA24" i="21"/>
  <c r="AX26" i="21"/>
  <c r="AZ27" i="21"/>
  <c r="AU10" i="21"/>
  <c r="BB7" i="21"/>
  <c r="AX6" i="21"/>
  <c r="BB8" i="21"/>
  <c r="AW9" i="21"/>
  <c r="AX9" i="21"/>
  <c r="BA5" i="21"/>
  <c r="BA7" i="21"/>
  <c r="BB5" i="21"/>
  <c r="AV11" i="21"/>
  <c r="AV13" i="21"/>
  <c r="AW27" i="21"/>
  <c r="AY26" i="21"/>
  <c r="A15" i="21"/>
  <c r="A14" i="1" s="1"/>
  <c r="A14" i="21"/>
  <c r="A13" i="21"/>
  <c r="A12" i="21"/>
  <c r="A11" i="1" s="1"/>
  <c r="A11" i="21"/>
  <c r="A10" i="1" s="1"/>
  <c r="A10" i="21"/>
  <c r="A9" i="21"/>
  <c r="A8" i="21"/>
  <c r="A7" i="1" s="1"/>
  <c r="A7" i="21"/>
  <c r="A6" i="1" s="1"/>
  <c r="A6" i="21"/>
  <c r="A5" i="1" s="1"/>
  <c r="A5" i="21"/>
  <c r="A4" i="1" s="1"/>
  <c r="D3" i="5"/>
  <c r="C2" i="13" a="1"/>
  <c r="C2" i="13" s="1"/>
  <c r="C53" i="13" s="1"/>
  <c r="D1" i="13"/>
  <c r="D2" i="13" s="1" a="1"/>
  <c r="D2" i="13" s="1"/>
  <c r="D53" i="13" s="1"/>
  <c r="A13" i="12"/>
  <c r="A12" i="12"/>
  <c r="A11" i="12"/>
  <c r="A10" i="12"/>
  <c r="A9" i="12"/>
  <c r="A8" i="12"/>
  <c r="A7" i="12"/>
  <c r="A6" i="12"/>
  <c r="A5" i="12"/>
  <c r="A4" i="12"/>
  <c r="A3" i="12"/>
  <c r="A2" i="12"/>
  <c r="M82" i="10"/>
  <c r="L82" i="10"/>
  <c r="H82" i="10"/>
  <c r="G82" i="10"/>
  <c r="F82" i="10"/>
  <c r="E82" i="10"/>
  <c r="D82" i="10"/>
  <c r="C82" i="10"/>
  <c r="M29" i="10"/>
  <c r="AH16" i="18" s="1"/>
  <c r="L29" i="10"/>
  <c r="AE16" i="18" s="1"/>
  <c r="H29" i="10"/>
  <c r="AG24" i="18" s="1"/>
  <c r="G29" i="10"/>
  <c r="AF16" i="18" s="1"/>
  <c r="F29" i="10"/>
  <c r="K16" i="18" s="1"/>
  <c r="X16" i="18" s="1"/>
  <c r="E29" i="10"/>
  <c r="M24" i="18" s="1"/>
  <c r="D29" i="10"/>
  <c r="L24" i="18" s="1"/>
  <c r="C29" i="10"/>
  <c r="M22" i="10"/>
  <c r="L22" i="10"/>
  <c r="H22" i="10"/>
  <c r="G22" i="10"/>
  <c r="F22" i="10"/>
  <c r="E22" i="10"/>
  <c r="D22" i="10"/>
  <c r="C22" i="10"/>
  <c r="M17" i="10"/>
  <c r="AH22" i="18" s="1"/>
  <c r="L17" i="10"/>
  <c r="AE22" i="18" s="1"/>
  <c r="H17" i="10"/>
  <c r="AG22" i="18" s="1"/>
  <c r="G17" i="10"/>
  <c r="AF22" i="18" s="1"/>
  <c r="F17" i="10"/>
  <c r="AO14" i="21" s="1"/>
  <c r="AY14" i="21" s="1"/>
  <c r="E17" i="10"/>
  <c r="M22" i="18" s="1"/>
  <c r="D17" i="10"/>
  <c r="L22" i="18" s="1"/>
  <c r="C17" i="10"/>
  <c r="C27" i="20"/>
  <c r="C2" i="20"/>
  <c r="C28" i="20" s="1"/>
  <c r="D1" i="20"/>
  <c r="E1" i="20" s="1"/>
  <c r="AE28" i="21"/>
  <c r="CQ4" i="21"/>
  <c r="CP4" i="21"/>
  <c r="CO4" i="21"/>
  <c r="CN4" i="21"/>
  <c r="CM4" i="21"/>
  <c r="CL4" i="21"/>
  <c r="CK4" i="21"/>
  <c r="CJ4" i="21"/>
  <c r="CI4" i="21"/>
  <c r="AT4" i="21"/>
  <c r="AS4" i="21"/>
  <c r="AR4" i="21"/>
  <c r="AQ4" i="21"/>
  <c r="AO4" i="21"/>
  <c r="AN4" i="21"/>
  <c r="AM4" i="21"/>
  <c r="AL4" i="21"/>
  <c r="AK4" i="21"/>
  <c r="A3" i="1"/>
  <c r="A3" i="20" s="1"/>
  <c r="AK3" i="21"/>
  <c r="P3" i="21"/>
  <c r="AL3" i="21" s="1"/>
  <c r="C1" i="21"/>
  <c r="D1" i="21" s="1"/>
  <c r="E1" i="21" s="1"/>
  <c r="F1" i="21" s="1"/>
  <c r="G1" i="21" s="1"/>
  <c r="H1" i="21" s="1"/>
  <c r="I1" i="21" s="1"/>
  <c r="J1" i="21" s="1"/>
  <c r="K1" i="21" s="1"/>
  <c r="L1" i="21" s="1"/>
  <c r="M1" i="21" s="1"/>
  <c r="N1" i="21" s="1"/>
  <c r="O1" i="21" s="1"/>
  <c r="P1" i="21" s="1"/>
  <c r="Q1" i="21" s="1"/>
  <c r="R1" i="21" s="1"/>
  <c r="S1" i="21" s="1"/>
  <c r="T1" i="21" s="1"/>
  <c r="U1" i="21" s="1"/>
  <c r="V1" i="21" s="1"/>
  <c r="W1" i="21" s="1"/>
  <c r="X1" i="21" s="1"/>
  <c r="Y2" i="3" a="1"/>
  <c r="Y2" i="3" s="1"/>
  <c r="A2" i="3"/>
  <c r="Z1" i="3"/>
  <c r="Z2" i="3" s="1" a="1"/>
  <c r="Z2" i="3" s="1"/>
  <c r="L118" i="5"/>
  <c r="I115" i="5"/>
  <c r="O109" i="5"/>
  <c r="L109" i="5"/>
  <c r="O118" i="5" s="1"/>
  <c r="D66" i="5"/>
  <c r="K65" i="5"/>
  <c r="D65" i="5"/>
  <c r="K64" i="5"/>
  <c r="D64" i="5"/>
  <c r="D63" i="5"/>
  <c r="O3" i="5"/>
  <c r="N3" i="5"/>
  <c r="C3" i="5" a="1"/>
  <c r="C3" i="5" s="1"/>
  <c r="P65" i="15"/>
  <c r="P64" i="15"/>
  <c r="P63" i="15"/>
  <c r="P62" i="15"/>
  <c r="A6" i="15" a="1"/>
  <c r="A6" i="15" s="1"/>
  <c r="AD24" i="18"/>
  <c r="AC24" i="18"/>
  <c r="AH23" i="18"/>
  <c r="AG23" i="18"/>
  <c r="AF23" i="18"/>
  <c r="AE23" i="18"/>
  <c r="AD23" i="18"/>
  <c r="AC23" i="18"/>
  <c r="M23" i="18"/>
  <c r="L23" i="18"/>
  <c r="K23" i="18"/>
  <c r="X23" i="18" s="1"/>
  <c r="AD22" i="18"/>
  <c r="AC22" i="18"/>
  <c r="AH21" i="18"/>
  <c r="AG21" i="18"/>
  <c r="AF21" i="18"/>
  <c r="AE21" i="18"/>
  <c r="AD21" i="18"/>
  <c r="AC21" i="18"/>
  <c r="M21" i="18"/>
  <c r="L21" i="18"/>
  <c r="K21" i="18"/>
  <c r="X21" i="18" s="1"/>
  <c r="AH20" i="18"/>
  <c r="AG20" i="18"/>
  <c r="AF20" i="18"/>
  <c r="AE20" i="18"/>
  <c r="AD20" i="18"/>
  <c r="AC20" i="18"/>
  <c r="M20" i="18"/>
  <c r="L20" i="18"/>
  <c r="K20" i="18"/>
  <c r="X20" i="18" s="1"/>
  <c r="AH19" i="18"/>
  <c r="AG19" i="18"/>
  <c r="AF19" i="18"/>
  <c r="AE19" i="18"/>
  <c r="AD19" i="18"/>
  <c r="AC19" i="18"/>
  <c r="M19" i="18"/>
  <c r="L19" i="18"/>
  <c r="K19" i="18"/>
  <c r="X19" i="18" s="1"/>
  <c r="AH18" i="18"/>
  <c r="AG18" i="18"/>
  <c r="AF18" i="18"/>
  <c r="AE18" i="18"/>
  <c r="AD18" i="18"/>
  <c r="AC18" i="18"/>
  <c r="M18" i="18"/>
  <c r="L18" i="18"/>
  <c r="K18" i="18"/>
  <c r="X18" i="18" s="1"/>
  <c r="AH17" i="18"/>
  <c r="AG17" i="18"/>
  <c r="AF17" i="18"/>
  <c r="AE17" i="18"/>
  <c r="AD17" i="18"/>
  <c r="AC17" i="18"/>
  <c r="M17" i="18"/>
  <c r="L17" i="18"/>
  <c r="K17" i="18"/>
  <c r="X17" i="18" s="1"/>
  <c r="D17" i="18"/>
  <c r="D18" i="18" s="1"/>
  <c r="D19" i="18" s="1"/>
  <c r="D20" i="18" s="1"/>
  <c r="D21" i="18" s="1"/>
  <c r="D22" i="18" s="1"/>
  <c r="D23" i="18" s="1"/>
  <c r="D24" i="18" s="1"/>
  <c r="AD16" i="18"/>
  <c r="O6" i="18"/>
  <c r="H61" i="2"/>
  <c r="H60" i="2"/>
  <c r="D20" i="2"/>
  <c r="P59" i="2"/>
  <c r="O59" i="2"/>
  <c r="N59" i="2"/>
  <c r="M59" i="2"/>
  <c r="L59" i="2"/>
  <c r="K59" i="2"/>
  <c r="D19" i="2"/>
  <c r="B28" i="2"/>
  <c r="B27" i="2"/>
  <c r="B26" i="2"/>
  <c r="B25" i="2"/>
  <c r="B24" i="2"/>
  <c r="B23" i="2"/>
  <c r="B22" i="2"/>
  <c r="B21" i="2"/>
  <c r="B20" i="2"/>
  <c r="B19" i="2"/>
  <c r="B18" i="2"/>
  <c r="B17" i="2"/>
  <c r="E15" i="2"/>
  <c r="D3" i="2"/>
  <c r="A43" i="4" a="1"/>
  <c r="A43" i="4" s="1"/>
  <c r="A41" i="4" a="1"/>
  <c r="A41" i="4" s="1"/>
  <c r="A40" i="4" a="1"/>
  <c r="A40" i="4" s="1"/>
  <c r="A39" i="4" a="1"/>
  <c r="A39" i="4" s="1"/>
  <c r="A38" i="4" a="1"/>
  <c r="A38" i="4" s="1"/>
  <c r="A37" i="4" a="1"/>
  <c r="A37" i="4" s="1"/>
  <c r="A36" i="4" a="1"/>
  <c r="A36" i="4" s="1"/>
  <c r="A35" i="4" a="1"/>
  <c r="A35" i="4" s="1"/>
  <c r="A34" i="4" a="1"/>
  <c r="A34" i="4" s="1"/>
  <c r="A33" i="4" a="1"/>
  <c r="A33" i="4" s="1"/>
  <c r="A32" i="4" a="1"/>
  <c r="A32" i="4" s="1"/>
  <c r="A31" i="4" a="1"/>
  <c r="A31" i="4" s="1"/>
  <c r="A30" i="4" a="1"/>
  <c r="A30" i="4" s="1"/>
  <c r="A29" i="4" a="1"/>
  <c r="A29" i="4" s="1"/>
  <c r="A28" i="4" a="1"/>
  <c r="A28" i="4" s="1"/>
  <c r="A27" i="4" a="1"/>
  <c r="A27" i="4" s="1"/>
  <c r="A26" i="4" a="1"/>
  <c r="A26" i="4" s="1"/>
  <c r="A25" i="4" a="1"/>
  <c r="A25" i="4" s="1"/>
  <c r="A24" i="4" a="1"/>
  <c r="A24" i="4" s="1"/>
  <c r="A23" i="4" a="1"/>
  <c r="A23" i="4" s="1"/>
  <c r="A22" i="4" a="1"/>
  <c r="A22" i="4" s="1"/>
  <c r="A21" i="4" a="1"/>
  <c r="A21" i="4" s="1"/>
  <c r="A20" i="4" a="1"/>
  <c r="A20" i="4" s="1"/>
  <c r="A19" i="4" a="1"/>
  <c r="A19" i="4" s="1"/>
  <c r="A18" i="4" a="1"/>
  <c r="A18" i="4" s="1"/>
  <c r="A17" i="4" a="1"/>
  <c r="A17" i="4" s="1"/>
  <c r="A16" i="4" a="1"/>
  <c r="A16" i="4" s="1"/>
  <c r="A15" i="4" a="1"/>
  <c r="A15" i="4" s="1"/>
  <c r="A14" i="4" a="1"/>
  <c r="A14" i="4" s="1"/>
  <c r="A13" i="4" a="1"/>
  <c r="A13" i="4" s="1"/>
  <c r="A12" i="4" a="1"/>
  <c r="A12" i="4" s="1"/>
  <c r="A11" i="4" a="1"/>
  <c r="A11" i="4" s="1"/>
  <c r="A10" i="4" a="1"/>
  <c r="A10" i="4" s="1"/>
  <c r="A9" i="4" a="1"/>
  <c r="A9" i="4" s="1"/>
  <c r="A8" i="4" a="1"/>
  <c r="A8" i="4" s="1"/>
  <c r="A7" i="4" a="1"/>
  <c r="A7" i="4" s="1"/>
  <c r="A6" i="4" a="1"/>
  <c r="A6" i="4" s="1"/>
  <c r="A5" i="4" a="1"/>
  <c r="A5" i="4" s="1"/>
  <c r="A4" i="4" a="1"/>
  <c r="A4" i="4" s="1"/>
  <c r="A3" i="4" a="1"/>
  <c r="A3" i="4" s="1"/>
  <c r="A2" i="4" a="1"/>
  <c r="A2" i="4" s="1"/>
  <c r="A18" i="8"/>
  <c r="G10" i="8"/>
  <c r="C10" i="8"/>
  <c r="G9" i="8"/>
  <c r="C9" i="8"/>
  <c r="G8" i="8"/>
  <c r="C8" i="8"/>
  <c r="C7" i="8"/>
  <c r="C4" i="8"/>
  <c r="Z8" i="3" a="1"/>
  <c r="Z14" i="3" a="1"/>
  <c r="DL11" i="21" a="1"/>
  <c r="F14" i="1" a="1"/>
  <c r="DL15" i="21" a="1"/>
  <c r="F11" i="1" a="1"/>
  <c r="DL14" i="21" a="1"/>
  <c r="DM12" i="21" a="1"/>
  <c r="F7" i="1" a="1"/>
  <c r="J5" i="3" a="1"/>
  <c r="J6" i="3" a="1"/>
  <c r="J4" i="3" a="1"/>
  <c r="Y9" i="3" a="1"/>
  <c r="DM13" i="21" a="1"/>
  <c r="DM15" i="21" a="1"/>
  <c r="F5" i="1" a="1"/>
  <c r="J9" i="3" a="1"/>
  <c r="DM11" i="21" a="1"/>
  <c r="Y5" i="3" a="1"/>
  <c r="J11" i="3" a="1"/>
  <c r="Y3" i="3" a="1"/>
  <c r="F10" i="1" a="1"/>
  <c r="J10" i="3" a="1"/>
  <c r="F4" i="1" a="1"/>
  <c r="DL12" i="21" a="1"/>
  <c r="Z3" i="3" a="1"/>
  <c r="DL13" i="21" a="1"/>
  <c r="DM14" i="21" a="1"/>
  <c r="F6" i="1" a="1"/>
  <c r="J8" i="3" a="1"/>
  <c r="AE24" i="18" l="1"/>
  <c r="K24" i="18"/>
  <c r="X24" i="18" s="1"/>
  <c r="Y24" i="18" s="1"/>
  <c r="AH24" i="18"/>
  <c r="AF24" i="18"/>
  <c r="Y5" i="3"/>
  <c r="Y9" i="3"/>
  <c r="Y3" i="3"/>
  <c r="Z14" i="3"/>
  <c r="Z3" i="3"/>
  <c r="Z8" i="3"/>
  <c r="K5" i="1"/>
  <c r="K8" i="1"/>
  <c r="K11" i="1"/>
  <c r="L6" i="1"/>
  <c r="L9" i="1"/>
  <c r="K10" i="1"/>
  <c r="L10" i="1"/>
  <c r="L4" i="1"/>
  <c r="K9" i="1"/>
  <c r="L5" i="1"/>
  <c r="I13" i="1"/>
  <c r="J13" i="1"/>
  <c r="L8" i="1"/>
  <c r="L11" i="1"/>
  <c r="K6" i="1"/>
  <c r="K4" i="1"/>
  <c r="F4" i="1"/>
  <c r="F5" i="1"/>
  <c r="F6" i="1"/>
  <c r="F7" i="1"/>
  <c r="F10" i="1"/>
  <c r="F11" i="1"/>
  <c r="F14" i="1"/>
  <c r="A8" i="1"/>
  <c r="A8" i="3" s="1"/>
  <c r="A9" i="1"/>
  <c r="A12" i="1"/>
  <c r="A13" i="1"/>
  <c r="A13" i="3" s="1"/>
  <c r="A14" i="3"/>
  <c r="AR26" i="21"/>
  <c r="AQ26" i="21"/>
  <c r="AX14" i="21"/>
  <c r="L13" i="1" s="1"/>
  <c r="E2" i="20"/>
  <c r="F1" i="20"/>
  <c r="D2" i="20"/>
  <c r="D28" i="20" s="1"/>
  <c r="DM15" i="21"/>
  <c r="C14" i="1" s="1"/>
  <c r="DL15" i="21"/>
  <c r="B14" i="1" s="1"/>
  <c r="J8" i="3"/>
  <c r="DL14" i="21"/>
  <c r="B13" i="1" s="1"/>
  <c r="DM14" i="21"/>
  <c r="C13" i="1" s="1"/>
  <c r="J11" i="3"/>
  <c r="J10" i="3"/>
  <c r="J9" i="3"/>
  <c r="DL11" i="21"/>
  <c r="B10" i="1" s="1"/>
  <c r="DM11" i="21"/>
  <c r="C10" i="1" s="1"/>
  <c r="DM12" i="21"/>
  <c r="C11" i="1" s="1"/>
  <c r="DL12" i="21"/>
  <c r="B11" i="1" s="1"/>
  <c r="J4" i="3"/>
  <c r="DL13" i="21"/>
  <c r="B12" i="1" s="1"/>
  <c r="DM13" i="21"/>
  <c r="C12" i="1" s="1"/>
  <c r="J6" i="3"/>
  <c r="J5" i="3"/>
  <c r="AK13" i="21"/>
  <c r="AK15" i="21"/>
  <c r="A4" i="3"/>
  <c r="AP17" i="21"/>
  <c r="A5" i="3"/>
  <c r="A6" i="3"/>
  <c r="A7" i="3"/>
  <c r="AQ8" i="21"/>
  <c r="AP8" i="21"/>
  <c r="K22" i="18"/>
  <c r="X22" i="18" s="1"/>
  <c r="Y23" i="18" s="1"/>
  <c r="AP24" i="21"/>
  <c r="A4" i="20"/>
  <c r="AP4" i="21"/>
  <c r="AZ4" i="21" s="1"/>
  <c r="AG16" i="18"/>
  <c r="AW4" i="21"/>
  <c r="L16" i="18"/>
  <c r="Y21" i="18"/>
  <c r="AA1" i="3"/>
  <c r="AU4" i="21"/>
  <c r="AX4" i="21"/>
  <c r="BB4" i="21"/>
  <c r="B2" i="12"/>
  <c r="A3" i="3"/>
  <c r="C1" i="15" a="1"/>
  <c r="C1" i="15" s="1"/>
  <c r="E1" i="13"/>
  <c r="E2" i="13" s="1" a="1"/>
  <c r="E2" i="13" s="1"/>
  <c r="E53" i="13" s="1"/>
  <c r="Q3" i="21"/>
  <c r="AM3" i="21" s="1"/>
  <c r="M16" i="18"/>
  <c r="M109" i="5"/>
  <c r="N109" i="5" s="1"/>
  <c r="AV4" i="21"/>
  <c r="BC4" i="21"/>
  <c r="Y17" i="18"/>
  <c r="G9" i="18"/>
  <c r="Y19" i="18"/>
  <c r="M118" i="5"/>
  <c r="N118" i="5" s="1"/>
  <c r="BA4" i="21"/>
  <c r="Y18" i="18"/>
  <c r="Y20" i="18"/>
  <c r="L110" i="5"/>
  <c r="Y1" i="21"/>
  <c r="Z1" i="21" s="1"/>
  <c r="AA1" i="21" s="1"/>
  <c r="AB1" i="21" s="1"/>
  <c r="B8" i="13" l="1"/>
  <c r="B15" i="13"/>
  <c r="B23" i="13"/>
  <c r="B26" i="13"/>
  <c r="B33" i="13"/>
  <c r="B29" i="13"/>
  <c r="B20" i="13"/>
  <c r="B4" i="13"/>
  <c r="B37" i="13"/>
  <c r="B38" i="13"/>
  <c r="B10" i="13"/>
  <c r="B17" i="13"/>
  <c r="B32" i="13"/>
  <c r="B42" i="13"/>
  <c r="B47" i="13"/>
  <c r="B50" i="13"/>
  <c r="B19" i="13"/>
  <c r="B51" i="13"/>
  <c r="B44" i="13"/>
  <c r="B31" i="13"/>
  <c r="B40" i="13"/>
  <c r="B35" i="13"/>
  <c r="B5" i="13"/>
  <c r="B49" i="13"/>
  <c r="B28" i="13"/>
  <c r="B7" i="13"/>
  <c r="B11" i="13"/>
  <c r="B45" i="13"/>
  <c r="B21" i="13"/>
  <c r="B36" i="13"/>
  <c r="B46" i="13"/>
  <c r="B43" i="13"/>
  <c r="B48" i="13"/>
  <c r="B52" i="13"/>
  <c r="B41" i="13"/>
  <c r="B25" i="13"/>
  <c r="B34" i="13"/>
  <c r="B18" i="13"/>
  <c r="B14" i="13"/>
  <c r="B13" i="13"/>
  <c r="B30" i="13"/>
  <c r="B12" i="13"/>
  <c r="B22" i="13"/>
  <c r="B16" i="13"/>
  <c r="B27" i="13"/>
  <c r="B24" i="13"/>
  <c r="B9" i="13"/>
  <c r="B3" i="13"/>
  <c r="B39" i="13"/>
  <c r="B6" i="13"/>
  <c r="H1" i="15" a="1"/>
  <c r="H1" i="15" s="1"/>
  <c r="J14" i="1"/>
  <c r="I14" i="1"/>
  <c r="I7" i="1"/>
  <c r="J7" i="1"/>
  <c r="J12" i="1"/>
  <c r="I12" i="1"/>
  <c r="K13" i="1"/>
  <c r="A9" i="3"/>
  <c r="A12" i="3"/>
  <c r="J1" i="15" a="1"/>
  <c r="J1" i="15" s="1"/>
  <c r="A10" i="3"/>
  <c r="A11" i="20"/>
  <c r="A11" i="3"/>
  <c r="AZ26" i="21"/>
  <c r="BA26" i="21"/>
  <c r="BB26" i="21"/>
  <c r="G1" i="20"/>
  <c r="F2" i="20"/>
  <c r="AU13" i="21"/>
  <c r="L12" i="1" s="1"/>
  <c r="AY8" i="21"/>
  <c r="AY17" i="21"/>
  <c r="AZ17" i="21"/>
  <c r="BA8" i="21"/>
  <c r="AZ8" i="21"/>
  <c r="AU15" i="21"/>
  <c r="L14" i="1" s="1"/>
  <c r="AC1" i="21"/>
  <c r="AD1" i="21" s="1"/>
  <c r="AE1" i="21" s="1"/>
  <c r="AF1" i="21" s="1"/>
  <c r="AG1" i="21" s="1"/>
  <c r="AH1" i="21" s="1"/>
  <c r="AI1" i="21" s="1"/>
  <c r="AJ1" i="21" s="1"/>
  <c r="AK1" i="21" s="1"/>
  <c r="AL1" i="21" s="1"/>
  <c r="AM1" i="21" s="1"/>
  <c r="AN1" i="21" s="1"/>
  <c r="AO1" i="21" s="1"/>
  <c r="AP1" i="21" s="1"/>
  <c r="AQ1" i="21" s="1"/>
  <c r="AR1" i="21" s="1"/>
  <c r="AS1" i="21" s="1"/>
  <c r="AT1" i="21" s="1"/>
  <c r="AU1" i="21" s="1"/>
  <c r="AV1" i="21" s="1"/>
  <c r="AW1" i="21" s="1"/>
  <c r="AX1" i="21" s="1"/>
  <c r="AY1" i="21" s="1"/>
  <c r="AZ1" i="21" s="1"/>
  <c r="BA1" i="21" s="1"/>
  <c r="BB1" i="21" s="1"/>
  <c r="BC1" i="21" s="1"/>
  <c r="BD1" i="21" s="1"/>
  <c r="BE1" i="21" s="1"/>
  <c r="BF1" i="21" s="1"/>
  <c r="BG1" i="21" s="1"/>
  <c r="BH1" i="21" s="1"/>
  <c r="BI1" i="21" s="1"/>
  <c r="BJ1" i="21" s="1"/>
  <c r="BK1" i="21" s="1"/>
  <c r="BL1" i="21" s="1"/>
  <c r="BM1" i="21" s="1"/>
  <c r="BN1" i="21" s="1"/>
  <c r="BO1" i="21" s="1"/>
  <c r="BP1" i="21" s="1"/>
  <c r="BQ1" i="21" s="1"/>
  <c r="BR1" i="21" s="1"/>
  <c r="BS1" i="21" s="1"/>
  <c r="BT1" i="21" s="1"/>
  <c r="BU1" i="21" s="1"/>
  <c r="BV1" i="21" s="1"/>
  <c r="BW1" i="21" s="1"/>
  <c r="BX1" i="21" s="1"/>
  <c r="BY1" i="21" s="1"/>
  <c r="BZ1" i="21" s="1"/>
  <c r="CA1" i="21" s="1"/>
  <c r="CB1" i="21" s="1"/>
  <c r="CC1" i="21" s="1"/>
  <c r="CD1" i="21" s="1"/>
  <c r="CE1" i="21" s="1"/>
  <c r="CF1" i="21" s="1"/>
  <c r="CG1" i="21" s="1"/>
  <c r="CH1" i="21" s="1"/>
  <c r="CI1" i="21" s="1"/>
  <c r="CJ1" i="21" s="1"/>
  <c r="CK1" i="21" s="1"/>
  <c r="CL1" i="21" s="1"/>
  <c r="CM1" i="21" s="1"/>
  <c r="CN1" i="21" s="1"/>
  <c r="CO1" i="21" s="1"/>
  <c r="CP1" i="21" s="1"/>
  <c r="CQ1" i="21" s="1"/>
  <c r="CR1" i="21" s="1"/>
  <c r="CS1" i="21" s="1"/>
  <c r="CT1" i="21" s="1"/>
  <c r="CU1" i="21" s="1"/>
  <c r="CV1" i="21" s="1"/>
  <c r="CW1" i="21" s="1"/>
  <c r="CX1" i="21" s="1"/>
  <c r="CY1" i="21" s="1"/>
  <c r="CZ1" i="21" s="1"/>
  <c r="DA1" i="21" s="1"/>
  <c r="DB1" i="21" s="1"/>
  <c r="DC1" i="21" s="1"/>
  <c r="DD1" i="21" s="1"/>
  <c r="DE1" i="21" s="1"/>
  <c r="DF1" i="21" s="1"/>
  <c r="DG1" i="21" s="1"/>
  <c r="DH1" i="21" s="1"/>
  <c r="DI1" i="21" s="1"/>
  <c r="DJ1" i="21" s="1"/>
  <c r="DK1" i="21" s="1"/>
  <c r="DL1" i="21" s="1"/>
  <c r="Y22" i="18"/>
  <c r="K1" i="15" a="1"/>
  <c r="K1" i="15" s="1"/>
  <c r="D1" i="15" a="1"/>
  <c r="D1" i="15" s="1"/>
  <c r="B3" i="12"/>
  <c r="G1" i="15" a="1"/>
  <c r="G1" i="15" s="1"/>
  <c r="B10" i="12"/>
  <c r="A8" i="20"/>
  <c r="B7" i="12"/>
  <c r="B9" i="12"/>
  <c r="A10" i="20"/>
  <c r="B6" i="12"/>
  <c r="A7" i="20"/>
  <c r="B5" i="12"/>
  <c r="A6" i="20"/>
  <c r="A14" i="20"/>
  <c r="B12" i="12"/>
  <c r="A13" i="20"/>
  <c r="B8" i="12"/>
  <c r="A9" i="20"/>
  <c r="A5" i="20"/>
  <c r="B11" i="12"/>
  <c r="A12" i="20"/>
  <c r="B4" i="12"/>
  <c r="AZ24" i="21"/>
  <c r="AY24" i="21"/>
  <c r="I1" i="15" a="1"/>
  <c r="I1" i="15" s="1"/>
  <c r="L1" i="15" a="1"/>
  <c r="L1" i="15" s="1"/>
  <c r="E1" i="15" a="1"/>
  <c r="E1" i="15" s="1"/>
  <c r="F1" i="15" a="1"/>
  <c r="F1" i="15" s="1"/>
  <c r="M1" i="15" a="1"/>
  <c r="M1" i="15" s="1"/>
  <c r="N1" i="15" a="1"/>
  <c r="N1" i="15" s="1"/>
  <c r="B13" i="12"/>
  <c r="AY4" i="21"/>
  <c r="L3" i="1" s="1"/>
  <c r="I3" i="1"/>
  <c r="J3" i="1"/>
  <c r="AB1" i="3"/>
  <c r="AA2" i="3" a="1"/>
  <c r="AA2" i="3" s="1"/>
  <c r="F1" i="13"/>
  <c r="F2" i="13" s="1" a="1"/>
  <c r="F2" i="13" s="1"/>
  <c r="F53" i="13" s="1"/>
  <c r="R3" i="21"/>
  <c r="L111" i="5"/>
  <c r="O117" i="5"/>
  <c r="E28" i="20"/>
  <c r="AA3" i="3" a="1"/>
  <c r="AA3" i="3" l="1"/>
  <c r="K7" i="1"/>
  <c r="K12" i="1"/>
  <c r="L7" i="1"/>
  <c r="K14" i="1"/>
  <c r="G2" i="20"/>
  <c r="H1" i="20"/>
  <c r="K3" i="1"/>
  <c r="AC1" i="3"/>
  <c r="AB2" i="3" a="1"/>
  <c r="AB2" i="3" s="1"/>
  <c r="G1" i="13"/>
  <c r="G2" i="13" s="1" a="1"/>
  <c r="G2" i="13" s="1"/>
  <c r="G53" i="13" s="1"/>
  <c r="S3" i="21"/>
  <c r="AN3" i="21"/>
  <c r="F28" i="20"/>
  <c r="O116" i="5"/>
  <c r="L112" i="5"/>
  <c r="AB9" i="3" a="1"/>
  <c r="AB3" i="3" a="1"/>
  <c r="AB3" i="3" l="1"/>
  <c r="AB9" i="3"/>
  <c r="I1" i="20"/>
  <c r="H2" i="20"/>
  <c r="H1" i="13"/>
  <c r="H2" i="13" s="1" a="1"/>
  <c r="H2" i="13" s="1"/>
  <c r="H53" i="13" s="1"/>
  <c r="AC2" i="3" a="1"/>
  <c r="AC2" i="3" s="1"/>
  <c r="AD1" i="3"/>
  <c r="T3" i="21"/>
  <c r="AO3" i="21"/>
  <c r="O115" i="5"/>
  <c r="L113" i="5"/>
  <c r="G28" i="20"/>
  <c r="AC8" i="3" a="1"/>
  <c r="AC10" i="3" a="1"/>
  <c r="AC10" i="3" l="1"/>
  <c r="AC8" i="3"/>
  <c r="J1" i="20"/>
  <c r="I2" i="20"/>
  <c r="I1" i="13"/>
  <c r="I2" i="13" s="1" a="1"/>
  <c r="I2" i="13" s="1"/>
  <c r="I53" i="13" s="1"/>
  <c r="H28" i="20"/>
  <c r="AD2" i="3" a="1"/>
  <c r="AD2" i="3" s="1"/>
  <c r="AE1" i="3"/>
  <c r="AP3" i="21"/>
  <c r="U3" i="21"/>
  <c r="L114" i="5"/>
  <c r="O114" i="5"/>
  <c r="AA8" i="3" a="1"/>
  <c r="AD6" i="3" a="1"/>
  <c r="AA14" i="3" a="1"/>
  <c r="AD11" i="3" a="1"/>
  <c r="AD4" i="3" a="1"/>
  <c r="AB14" i="3" a="1"/>
  <c r="AB4" i="3" a="1"/>
  <c r="AD9" i="3" a="1"/>
  <c r="AD5" i="3" a="1"/>
  <c r="AB8" i="3" a="1"/>
  <c r="AB11" i="3" a="1"/>
  <c r="AD12" i="3" a="1"/>
  <c r="AD8" i="3" a="1"/>
  <c r="BZ10" i="21" a="1"/>
  <c r="CA10" i="21" a="1"/>
  <c r="F11" i="3" a="1"/>
  <c r="R14" i="3" a="1"/>
  <c r="CW7" i="21" a="1"/>
  <c r="BH14" i="21" a="1"/>
  <c r="BZ5" i="21" a="1"/>
  <c r="DK14" i="21" a="1"/>
  <c r="BY13" i="21" a="1"/>
  <c r="CS7" i="21" a="1"/>
  <c r="DA9" i="21" a="1"/>
  <c r="BJ7" i="21" a="1"/>
  <c r="CB13" i="21" a="1"/>
  <c r="CV13" i="21" a="1"/>
  <c r="BD8" i="21" a="1"/>
  <c r="CY13" i="21" a="1"/>
  <c r="CX11" i="21" a="1"/>
  <c r="DI10" i="21" a="1"/>
  <c r="AD10" i="3" a="1"/>
  <c r="Q10" i="3" a="1"/>
  <c r="CF8" i="21" a="1"/>
  <c r="BM11" i="21" a="1"/>
  <c r="DH12" i="21" a="1"/>
  <c r="DA15" i="21" a="1"/>
  <c r="CY12" i="21" a="1"/>
  <c r="BF7" i="21" a="1"/>
  <c r="BG12" i="21" a="1"/>
  <c r="BK5" i="21" a="1"/>
  <c r="CD6" i="21" a="1"/>
  <c r="DG9" i="21" a="1"/>
  <c r="P6" i="3" a="1"/>
  <c r="DD7" i="21" a="1"/>
  <c r="BH15" i="21" a="1"/>
  <c r="CF10" i="21" a="1"/>
  <c r="DJ7" i="21" a="1"/>
  <c r="BF15" i="21" a="1"/>
  <c r="CT7" i="21" a="1"/>
  <c r="BG14" i="21" a="1"/>
  <c r="Q7" i="3" a="1"/>
  <c r="CA12" i="21" a="1"/>
  <c r="L4" i="3" a="1"/>
  <c r="CC11" i="21" a="1"/>
  <c r="DA8" i="21" a="1"/>
  <c r="CV14" i="21" a="1"/>
  <c r="DE6" i="21" a="1"/>
  <c r="CV8" i="21" a="1"/>
  <c r="CB8" i="21" a="1"/>
  <c r="CY14" i="21" a="1"/>
  <c r="DI5" i="21" a="1"/>
  <c r="DA6" i="21" a="1"/>
  <c r="DI14" i="21" a="1"/>
  <c r="CE15" i="21" a="1"/>
  <c r="DB7" i="21" a="1"/>
  <c r="BY12" i="21" a="1"/>
  <c r="O5" i="3" a="1"/>
  <c r="L11" i="3" a="1"/>
  <c r="CS13" i="21" a="1"/>
  <c r="CU6" i="21" a="1"/>
  <c r="L13" i="3" a="1"/>
  <c r="BI14" i="21" a="1"/>
  <c r="P14" i="3" a="1"/>
  <c r="CU10" i="21" a="1"/>
  <c r="M3" i="3" a="1"/>
  <c r="CS14" i="21" a="1"/>
  <c r="BY6" i="21" a="1"/>
  <c r="BK11" i="21" a="1"/>
  <c r="CV7" i="21" a="1"/>
  <c r="DF9" i="21" a="1"/>
  <c r="DG11" i="21" a="1"/>
  <c r="BK6" i="21" a="1"/>
  <c r="CU13" i="21" a="1"/>
  <c r="K10" i="3" a="1"/>
  <c r="R12" i="3" a="1"/>
  <c r="CW14" i="21" a="1"/>
  <c r="DC11" i="21" a="1"/>
  <c r="CZ7" i="21" a="1"/>
  <c r="CX13" i="21" a="1"/>
  <c r="BX14" i="21" a="1"/>
  <c r="DJ11" i="21" a="1"/>
  <c r="BE11" i="21" a="1"/>
  <c r="DA12" i="21" a="1"/>
  <c r="Q5" i="3" a="1"/>
  <c r="F13" i="3" a="1"/>
  <c r="DF15" i="21" a="1"/>
  <c r="T7" i="3" a="1"/>
  <c r="BK12" i="21" a="1"/>
  <c r="BK10" i="21" a="1"/>
  <c r="E10" i="3" a="1"/>
  <c r="CT9" i="21" a="1"/>
  <c r="DG13" i="21" a="1"/>
  <c r="CG7" i="21" a="1"/>
  <c r="BF10" i="21" a="1"/>
  <c r="DK9" i="21" a="1"/>
  <c r="DD12" i="21" a="1"/>
  <c r="DH11" i="21" a="1"/>
  <c r="DA7" i="21" a="1"/>
  <c r="P5" i="3" a="1"/>
  <c r="BD9" i="21" a="1"/>
  <c r="R3" i="3" a="1"/>
  <c r="DJ13" i="21" a="1"/>
  <c r="P4" i="3" a="1"/>
  <c r="CA5" i="21" a="1"/>
  <c r="CX14" i="21" a="1"/>
  <c r="DB9" i="21" a="1"/>
  <c r="CG5" i="21" a="1"/>
  <c r="BE13" i="21" a="1"/>
  <c r="CA13" i="21" a="1"/>
  <c r="M11" i="3" a="1"/>
  <c r="CZ9" i="21" a="1"/>
  <c r="BG5" i="21" a="1"/>
  <c r="DK10" i="21" a="1"/>
  <c r="CS15" i="21" a="1"/>
  <c r="BE7" i="21" a="1"/>
  <c r="DJ8" i="21" a="1"/>
  <c r="CZ5" i="21" a="1"/>
  <c r="DD9" i="21" a="1"/>
  <c r="CB5" i="21" a="1"/>
  <c r="CE8" i="21" a="1"/>
  <c r="CR7" i="21" a="1"/>
  <c r="CT5" i="21" a="1"/>
  <c r="CZ11" i="21" a="1"/>
  <c r="T14" i="3" a="1"/>
  <c r="O7" i="3" a="1"/>
  <c r="CB12" i="21" a="1"/>
  <c r="CB10" i="21" a="1"/>
  <c r="O11" i="3" a="1"/>
  <c r="CZ10" i="21" a="1"/>
  <c r="DI6" i="21" a="1"/>
  <c r="O13" i="3" a="1"/>
  <c r="DJ9" i="21" a="1"/>
  <c r="CC12" i="21" a="1"/>
  <c r="DG5" i="21" a="1"/>
  <c r="R13" i="3" a="1"/>
  <c r="K14" i="3" a="1"/>
  <c r="BD6" i="21" a="1"/>
  <c r="CX10" i="21" a="1"/>
  <c r="DC15" i="21" a="1"/>
  <c r="CD8" i="21" a="1"/>
  <c r="CA11" i="21" a="1"/>
  <c r="BE14" i="21" a="1"/>
  <c r="BZ6" i="21" a="1"/>
  <c r="CG10" i="21" a="1"/>
  <c r="BZ7" i="21" a="1"/>
  <c r="F8" i="1" a="1"/>
  <c r="DC9" i="21" a="1"/>
  <c r="CW9" i="21" a="1"/>
  <c r="DD10" i="21" a="1"/>
  <c r="BG7" i="21" a="1"/>
  <c r="Q4" i="3" a="1"/>
  <c r="M6" i="3" a="1"/>
  <c r="DA11" i="21" a="1"/>
  <c r="DK12" i="21" a="1"/>
  <c r="BH10" i="21" a="1"/>
  <c r="BJ15" i="21" a="1"/>
  <c r="CC9" i="21" a="1"/>
  <c r="M4" i="3" a="1"/>
  <c r="CW11" i="21" a="1"/>
  <c r="CR10" i="21" a="1"/>
  <c r="DI12" i="21" a="1"/>
  <c r="CD11" i="21" a="1"/>
  <c r="P7" i="3" a="1"/>
  <c r="BI9" i="21" a="1"/>
  <c r="CX8" i="21" a="1"/>
  <c r="DH5" i="21" a="1"/>
  <c r="DB14" i="21" a="1"/>
  <c r="CR11" i="21" a="1"/>
  <c r="DF8" i="21" a="1"/>
  <c r="BZ8" i="21" a="1"/>
  <c r="M10" i="3" a="1"/>
  <c r="DI8" i="21" a="1"/>
  <c r="CC6" i="21" a="1"/>
  <c r="CG15" i="21" a="1"/>
  <c r="BM13" i="21" a="1"/>
  <c r="CC10" i="21" a="1"/>
  <c r="BF12" i="21" a="1"/>
  <c r="M13" i="3" a="1"/>
  <c r="DE12" i="21" a="1"/>
  <c r="CR14" i="21" a="1"/>
  <c r="CC15" i="21" a="1"/>
  <c r="CU8" i="21" a="1"/>
  <c r="DD15" i="21" a="1"/>
  <c r="BD12" i="21" a="1"/>
  <c r="F9" i="1" a="1"/>
  <c r="CZ13" i="21" a="1"/>
  <c r="DI15" i="21" a="1"/>
  <c r="CW6" i="21" a="1"/>
  <c r="BE9" i="21" a="1"/>
  <c r="O4" i="3" a="1"/>
  <c r="DF14" i="21" a="1"/>
  <c r="DL6" i="21" a="1"/>
  <c r="CT6" i="21" a="1"/>
  <c r="CZ8" i="21" a="1"/>
  <c r="CY15" i="21" a="1"/>
  <c r="BF6" i="21" a="1"/>
  <c r="R4" i="3" a="1"/>
  <c r="DF6" i="21" a="1"/>
  <c r="CY5" i="21" a="1"/>
  <c r="S14" i="3" a="1"/>
  <c r="BD14" i="21" a="1"/>
  <c r="BF8" i="21" a="1"/>
  <c r="CC5" i="21" a="1"/>
  <c r="CE5" i="21" a="1"/>
  <c r="T10" i="3" a="1"/>
  <c r="BJ9" i="21" a="1"/>
  <c r="Q3" i="3" a="1"/>
  <c r="CW13" i="21" a="1"/>
  <c r="CB6" i="21" a="1"/>
  <c r="DH9" i="21" a="1"/>
  <c r="DJ6" i="21" a="1"/>
  <c r="DJ15" i="21" a="1"/>
  <c r="DG15" i="21" a="1"/>
  <c r="BJ6" i="21" a="1"/>
  <c r="CR8" i="21" a="1"/>
  <c r="BE8" i="21" a="1"/>
  <c r="DG10" i="21" a="1"/>
  <c r="CW12" i="21" a="1"/>
  <c r="CS9" i="21" a="1"/>
  <c r="DE9" i="21" a="1"/>
  <c r="BX13" i="21" a="1"/>
  <c r="BL12" i="21" a="1"/>
  <c r="CY9" i="21" a="1"/>
  <c r="BF14" i="21" a="1"/>
  <c r="CX6" i="21" a="1"/>
  <c r="N9" i="3" a="1"/>
  <c r="DF5" i="21" a="1"/>
  <c r="CR12" i="21" a="1"/>
  <c r="CD15" i="21" a="1"/>
  <c r="BE15" i="21" a="1"/>
  <c r="BG15" i="21" a="1"/>
  <c r="CC8" i="21" a="1"/>
  <c r="BY5" i="21" a="1"/>
  <c r="BL15" i="21" a="1"/>
  <c r="S12" i="3" a="1"/>
  <c r="BM9" i="21" a="1"/>
  <c r="T5" i="3" a="1"/>
  <c r="BD15" i="21" a="1"/>
  <c r="DD11" i="21" a="1"/>
  <c r="BI7" i="21" a="1"/>
  <c r="CU5" i="21" a="1"/>
  <c r="F12" i="1" a="1"/>
  <c r="BG13" i="21" a="1"/>
  <c r="CD5" i="21" a="1"/>
  <c r="L14" i="3" a="1"/>
  <c r="BM14" i="21" a="1"/>
  <c r="DM5" i="21" a="1"/>
  <c r="DK11" i="21" a="1"/>
  <c r="DI11" i="21" a="1"/>
  <c r="M14" i="3" a="1"/>
  <c r="DE8" i="21" a="1"/>
  <c r="CD9" i="21" a="1"/>
  <c r="L3" i="3" a="1"/>
  <c r="DE15" i="21" a="1"/>
  <c r="CX9" i="21" a="1"/>
  <c r="CW5" i="21" a="1"/>
  <c r="J14" i="3" a="1"/>
  <c r="BE6" i="21" a="1"/>
  <c r="O6" i="3" a="1"/>
  <c r="BJ8" i="21" a="1"/>
  <c r="CA14" i="21" a="1"/>
  <c r="CG8" i="21" a="1"/>
  <c r="CS11" i="21" a="1"/>
  <c r="CF6" i="21" a="1"/>
  <c r="BY14" i="21" a="1"/>
  <c r="N10" i="3" a="1"/>
  <c r="Q11" i="3" a="1"/>
  <c r="DB10" i="21" a="1"/>
  <c r="L9" i="3" a="1"/>
  <c r="CC14" i="21" a="1"/>
  <c r="CF14" i="21" a="1"/>
  <c r="BL5" i="21" a="1"/>
  <c r="CU14" i="21" a="1"/>
  <c r="CT11" i="21" a="1"/>
  <c r="CV12" i="21" a="1"/>
  <c r="DD14" i="21" a="1"/>
  <c r="S8" i="3" a="1"/>
  <c r="DG8" i="21" a="1"/>
  <c r="DH7" i="21" a="1"/>
  <c r="K3" i="3" a="1"/>
  <c r="BX8" i="21" a="1"/>
  <c r="N3" i="3" a="1"/>
  <c r="CS12" i="21" a="1"/>
  <c r="DD13" i="21" a="1"/>
  <c r="CE9" i="21" a="1"/>
  <c r="M8" i="3" a="1"/>
  <c r="N8" i="3" a="1"/>
  <c r="BX9" i="21" a="1"/>
  <c r="BE10" i="21" a="1"/>
  <c r="M7" i="3" a="1"/>
  <c r="S7" i="3" a="1"/>
  <c r="CT14" i="21" a="1"/>
  <c r="DD5" i="21" a="1"/>
  <c r="CR6" i="21" a="1"/>
  <c r="BY7" i="21" a="1"/>
  <c r="BF13" i="21" a="1"/>
  <c r="BJ5" i="21" a="1"/>
  <c r="BH7" i="21" a="1"/>
  <c r="BI10" i="21" a="1"/>
  <c r="DM9" i="21" a="1"/>
  <c r="DD6" i="21" a="1"/>
  <c r="CX15" i="21" a="1"/>
  <c r="DL7" i="21" a="1"/>
  <c r="DL5" i="21" a="1"/>
  <c r="DK6" i="21" a="1"/>
  <c r="DH6" i="21" a="1"/>
  <c r="K8" i="3" a="1"/>
  <c r="BK13" i="21" a="1"/>
  <c r="BE5" i="21" a="1"/>
  <c r="DL9" i="21" a="1"/>
  <c r="O10" i="3" a="1"/>
  <c r="O8" i="3" a="1"/>
  <c r="BH6" i="21" a="1"/>
  <c r="DC7" i="21" a="1"/>
  <c r="BZ15" i="21" a="1"/>
  <c r="DM10" i="21" a="1"/>
  <c r="DK5" i="21" a="1"/>
  <c r="CY6" i="21" a="1"/>
  <c r="M9" i="3" a="1"/>
  <c r="Q9" i="3" a="1"/>
  <c r="CD7" i="21" a="1"/>
  <c r="BX6" i="21" a="1"/>
  <c r="CG13" i="21" a="1"/>
  <c r="K4" i="3" a="1"/>
  <c r="DE7" i="21" a="1"/>
  <c r="CG9" i="21" a="1"/>
  <c r="CY7" i="21" a="1"/>
  <c r="CG6" i="21" a="1"/>
  <c r="DB12" i="21" a="1"/>
  <c r="DI7" i="21" a="1"/>
  <c r="BM15" i="21" a="1"/>
  <c r="DB15" i="21" a="1"/>
  <c r="BG8" i="21" a="1"/>
  <c r="Q14" i="3" a="1"/>
  <c r="DF10" i="21" a="1"/>
  <c r="CV11" i="21" a="1"/>
  <c r="BL10" i="21" a="1"/>
  <c r="CF9" i="21" a="1"/>
  <c r="DH13" i="21" a="1"/>
  <c r="F12" i="3" a="1"/>
  <c r="BD7" i="21" a="1"/>
  <c r="R5" i="3" a="1"/>
  <c r="CE7" i="21" a="1"/>
  <c r="CG12" i="21" a="1"/>
  <c r="BD11" i="21" a="1"/>
  <c r="BI13" i="21" a="1"/>
  <c r="DJ14" i="21" a="1"/>
  <c r="K13" i="3" a="1"/>
  <c r="CW8" i="21" a="1"/>
  <c r="DG7" i="21" a="1"/>
  <c r="CV10" i="21" a="1"/>
  <c r="T9" i="3" a="1"/>
  <c r="BM10" i="21" a="1"/>
  <c r="BM7" i="21" a="1"/>
  <c r="CG14" i="21" a="1"/>
  <c r="T8" i="3" a="1"/>
  <c r="CC7" i="21" a="1"/>
  <c r="BY8" i="21" a="1"/>
  <c r="BX7" i="21" a="1"/>
  <c r="CY11" i="21" a="1"/>
  <c r="DK8" i="21" a="1"/>
  <c r="BL8" i="21" a="1"/>
  <c r="BZ14" i="21" a="1"/>
  <c r="L10" i="3" a="1"/>
  <c r="DH8" i="21" a="1"/>
  <c r="DL10" i="21" a="1"/>
  <c r="DC6" i="21" a="1"/>
  <c r="BM12" i="21" a="1"/>
  <c r="Q6" i="3" a="1"/>
  <c r="AD7" i="3" a="1"/>
  <c r="CW15" i="21" a="1"/>
  <c r="DH14" i="21" a="1"/>
  <c r="DB8" i="21" a="1"/>
  <c r="CA8" i="21" a="1"/>
  <c r="BH13" i="21" a="1"/>
  <c r="CY10" i="21" a="1"/>
  <c r="O3" i="3" a="1"/>
  <c r="CE10" i="21" a="1"/>
  <c r="S11" i="3" a="1"/>
  <c r="BK15" i="21" a="1"/>
  <c r="DJ5" i="21" a="1"/>
  <c r="J3" i="3" a="1"/>
  <c r="BY9" i="21" a="1"/>
  <c r="BL6" i="21" a="1"/>
  <c r="S9" i="3" a="1"/>
  <c r="R11" i="3" a="1"/>
  <c r="CA6" i="21" a="1"/>
  <c r="DJ12" i="21" a="1"/>
  <c r="CZ15" i="21" a="1"/>
  <c r="P9" i="3" a="1"/>
  <c r="BX12" i="21" a="1"/>
  <c r="CZ12" i="21" a="1"/>
  <c r="DI9" i="21" a="1"/>
  <c r="CF13" i="21" a="1"/>
  <c r="P3" i="3" a="1"/>
  <c r="E14" i="3" a="1"/>
  <c r="BF11" i="21" a="1"/>
  <c r="CZ6" i="21" a="1"/>
  <c r="N12" i="3" a="1"/>
  <c r="O12" i="3" a="1"/>
  <c r="BE12" i="21" a="1"/>
  <c r="CX5" i="21" a="1"/>
  <c r="BX5" i="21" a="1"/>
  <c r="CA7" i="21" a="1"/>
  <c r="DF7" i="21" a="1"/>
  <c r="CR15" i="21" a="1"/>
  <c r="CA15" i="21" a="1"/>
  <c r="BI12" i="21" a="1"/>
  <c r="BZ9" i="21" a="1"/>
  <c r="Q13" i="3" a="1"/>
  <c r="DE11" i="21" a="1"/>
  <c r="T12" i="3" a="1"/>
  <c r="BZ11" i="21" a="1"/>
  <c r="CR5" i="21" a="1"/>
  <c r="DK7" i="21" a="1"/>
  <c r="DE5" i="21" a="1"/>
  <c r="CF7" i="21" a="1"/>
  <c r="DF13" i="21" a="1"/>
  <c r="DD8" i="21" a="1"/>
  <c r="BG9" i="21" a="1"/>
  <c r="N4" i="3" a="1"/>
  <c r="CS10" i="21" a="1"/>
  <c r="DB6" i="21" a="1"/>
  <c r="DC12" i="21" a="1"/>
  <c r="DL8" i="21" a="1"/>
  <c r="N6" i="3" a="1"/>
  <c r="DC10" i="21" a="1"/>
  <c r="DG14" i="21" a="1"/>
  <c r="DB5" i="21" a="1"/>
  <c r="P12" i="3" a="1"/>
  <c r="DM8" i="21" a="1"/>
  <c r="BF9" i="21" a="1"/>
  <c r="BI6" i="21" a="1"/>
  <c r="BI5" i="21" a="1"/>
  <c r="R8" i="3" a="1"/>
  <c r="CF11" i="21" a="1"/>
  <c r="DF11" i="21" a="1"/>
  <c r="CV9" i="21" a="1"/>
  <c r="CF15" i="21" a="1"/>
  <c r="BD13" i="21" a="1"/>
  <c r="BH12" i="21" a="1"/>
  <c r="CS8" i="21" a="1"/>
  <c r="E13" i="3" a="1"/>
  <c r="O9" i="3" a="1"/>
  <c r="K6" i="3" a="1"/>
  <c r="T13" i="3" a="1"/>
  <c r="CR9" i="21" a="1"/>
  <c r="CF12" i="21" a="1"/>
  <c r="CD13" i="21" a="1"/>
  <c r="CD12" i="21" a="1"/>
  <c r="R6" i="3" a="1"/>
  <c r="S4" i="3" a="1"/>
  <c r="F14" i="3" a="1"/>
  <c r="DB13" i="21" a="1"/>
  <c r="CU11" i="21" a="1"/>
  <c r="CB9" i="21" a="1"/>
  <c r="DE13" i="21" a="1"/>
  <c r="BG10" i="21" a="1"/>
  <c r="CG11" i="21" a="1"/>
  <c r="DA13" i="21" a="1"/>
  <c r="CE6" i="21" a="1"/>
  <c r="DH10" i="21" a="1"/>
  <c r="F13" i="1" a="1"/>
  <c r="BK7" i="21" a="1"/>
  <c r="CV15" i="21" a="1"/>
  <c r="DI13" i="21" a="1"/>
  <c r="CV6" i="21" a="1"/>
  <c r="BZ12" i="21" a="1"/>
  <c r="L6" i="3" a="1"/>
  <c r="CA9" i="21" a="1"/>
  <c r="CD14" i="21" a="1"/>
  <c r="DK15" i="21" a="1"/>
  <c r="BG6" i="21" a="1"/>
  <c r="BI15" i="21" a="1"/>
  <c r="DG6" i="21" a="1"/>
  <c r="N5" i="3" a="1"/>
  <c r="CB15" i="21" a="1"/>
  <c r="BJ12" i="21" a="1"/>
  <c r="CY8" i="21" a="1"/>
  <c r="BL9" i="21" a="1"/>
  <c r="CT8" i="21" a="1"/>
  <c r="CT12" i="21" a="1"/>
  <c r="S5" i="3" a="1"/>
  <c r="CC13" i="21" a="1"/>
  <c r="CS6" i="21" a="1"/>
  <c r="E12" i="3" a="1"/>
  <c r="DA14" i="21" a="1"/>
  <c r="DM7" i="21" a="1"/>
  <c r="M12" i="3" a="1"/>
  <c r="CB14" i="21" a="1"/>
  <c r="CS5" i="21" a="1"/>
  <c r="T11" i="3" a="1"/>
  <c r="BL7" i="21" a="1"/>
  <c r="F10" i="3" a="1"/>
  <c r="AD3" i="3" a="1"/>
  <c r="BH5" i="21" a="1"/>
  <c r="N7" i="3" a="1"/>
  <c r="M5" i="3" a="1"/>
  <c r="E11" i="3" a="1"/>
  <c r="CW10" i="21" a="1"/>
  <c r="N14" i="3" a="1"/>
  <c r="BJ13" i="21" a="1"/>
  <c r="BF5" i="21" a="1"/>
  <c r="CU7" i="21" a="1"/>
  <c r="P10" i="3" a="1"/>
  <c r="CT15" i="21" a="1"/>
  <c r="BM5" i="21" a="1"/>
  <c r="DG12" i="21" a="1"/>
  <c r="BY10" i="21" a="1"/>
  <c r="CE12" i="21" a="1"/>
  <c r="BJ11" i="21" a="1"/>
  <c r="BL11" i="21" a="1"/>
  <c r="R10" i="3" a="1"/>
  <c r="CU12" i="21" a="1"/>
  <c r="BK8" i="21" a="1"/>
  <c r="DA10" i="21" a="1"/>
  <c r="N11" i="3" a="1"/>
  <c r="CV5" i="21" a="1"/>
  <c r="CU15" i="21" a="1"/>
  <c r="CZ14" i="21" a="1"/>
  <c r="J13" i="3" a="1"/>
  <c r="S13" i="3" a="1"/>
  <c r="CU9" i="21" a="1"/>
  <c r="Q8" i="3" a="1"/>
  <c r="DC14" i="21" a="1"/>
  <c r="K11" i="3" a="1"/>
  <c r="DC13" i="21" a="1"/>
  <c r="CF5" i="21" a="1"/>
  <c r="BX15" i="21" a="1"/>
  <c r="BI11" i="21" a="1"/>
  <c r="L8" i="3" a="1"/>
  <c r="CT13" i="21" a="1"/>
  <c r="CX7" i="21" a="1"/>
  <c r="Q12" i="3" a="1"/>
  <c r="BI8" i="21" a="1"/>
  <c r="K5" i="3" a="1"/>
  <c r="BJ10" i="21" a="1"/>
  <c r="AC3" i="3" a="1"/>
  <c r="DF12" i="21" a="1"/>
  <c r="K9" i="3" a="1"/>
  <c r="BL13" i="21" a="1"/>
  <c r="DM6" i="21" a="1"/>
  <c r="CE11" i="21" a="1"/>
  <c r="CX12" i="21" a="1"/>
  <c r="CB11" i="21" a="1"/>
  <c r="DB11" i="21" a="1"/>
  <c r="CT10" i="21" a="1"/>
  <c r="BK14" i="21" a="1"/>
  <c r="DE10" i="21" a="1"/>
  <c r="L5" i="3" a="1"/>
  <c r="T4" i="3" a="1"/>
  <c r="DA5" i="21" a="1"/>
  <c r="DC8" i="21" a="1"/>
  <c r="CE13" i="21" a="1"/>
  <c r="BM8" i="21" a="1"/>
  <c r="CR13" i="21" a="1"/>
  <c r="BY11" i="21" a="1"/>
  <c r="DJ10" i="21" a="1"/>
  <c r="BG11" i="21" a="1"/>
  <c r="T6" i="3" a="1"/>
  <c r="BD5" i="21" a="1"/>
  <c r="BX11" i="21" a="1"/>
  <c r="DC5" i="21" a="1"/>
  <c r="BM6" i="21" a="1"/>
  <c r="BD10" i="21" a="1"/>
  <c r="CE14" i="21" a="1"/>
  <c r="S6" i="3" a="1"/>
  <c r="R7" i="3" a="1"/>
  <c r="S10" i="3" a="1"/>
  <c r="DK13" i="21" a="1"/>
  <c r="BH11" i="21" a="1"/>
  <c r="BH9" i="21" a="1"/>
  <c r="N13" i="3" a="1"/>
  <c r="R9" i="3" a="1"/>
  <c r="O14" i="3" a="1"/>
  <c r="DH15" i="21" a="1"/>
  <c r="BH8" i="21" a="1"/>
  <c r="BX10" i="21" a="1"/>
  <c r="BJ14" i="21" a="1"/>
  <c r="BZ13" i="21" a="1"/>
  <c r="DE14" i="21" a="1"/>
  <c r="BL14" i="21" a="1"/>
  <c r="BK9" i="21" a="1"/>
  <c r="P11" i="3" a="1"/>
  <c r="CB7" i="21" a="1"/>
  <c r="CD10" i="21" a="1"/>
  <c r="P8" i="3" a="1"/>
  <c r="P13" i="3" a="1"/>
  <c r="BY15" i="21" a="1"/>
  <c r="AD7" i="3" l="1"/>
  <c r="AD8" i="3"/>
  <c r="BF10" i="21"/>
  <c r="BP10" i="21" s="1"/>
  <c r="DM6" i="21"/>
  <c r="C5" i="1" s="1"/>
  <c r="BJ13" i="21"/>
  <c r="BT13" i="21" s="1"/>
  <c r="CC8" i="21"/>
  <c r="DA13" i="21"/>
  <c r="BL9" i="21"/>
  <c r="BV9" i="21" s="1"/>
  <c r="DA10" i="21"/>
  <c r="CX12" i="21"/>
  <c r="CS11" i="21"/>
  <c r="DB13" i="21"/>
  <c r="CE11" i="21"/>
  <c r="CZ6" i="21"/>
  <c r="DL6" i="21"/>
  <c r="B5" i="1" s="1"/>
  <c r="L5" i="3"/>
  <c r="CF7" i="21"/>
  <c r="BY15" i="21"/>
  <c r="BJ10" i="21"/>
  <c r="BT10" i="21" s="1"/>
  <c r="DD15" i="21"/>
  <c r="E12" i="3"/>
  <c r="O3" i="3"/>
  <c r="DB5" i="21"/>
  <c r="O12" i="3"/>
  <c r="DK9" i="21"/>
  <c r="BG8" i="21"/>
  <c r="BQ8" i="21" s="1"/>
  <c r="CV13" i="21"/>
  <c r="CD12" i="21"/>
  <c r="DL7" i="21"/>
  <c r="B6" i="1" s="1"/>
  <c r="DE5" i="21"/>
  <c r="BE11" i="21"/>
  <c r="BO11" i="21" s="1"/>
  <c r="CU9" i="21"/>
  <c r="CA6" i="21"/>
  <c r="CZ7" i="21"/>
  <c r="CS15" i="21"/>
  <c r="CT9" i="21"/>
  <c r="BF11" i="21"/>
  <c r="BP11" i="21" s="1"/>
  <c r="CU10" i="21"/>
  <c r="DI13" i="21"/>
  <c r="DC12" i="21"/>
  <c r="R11" i="3"/>
  <c r="T10" i="3"/>
  <c r="BM9" i="21"/>
  <c r="P5" i="3"/>
  <c r="DF9" i="21"/>
  <c r="BL10" i="21"/>
  <c r="BV10" i="21" s="1"/>
  <c r="CZ5" i="21"/>
  <c r="DB11" i="21"/>
  <c r="CT15" i="21"/>
  <c r="J13" i="3"/>
  <c r="DH14" i="21"/>
  <c r="CB8" i="21"/>
  <c r="CS10" i="21"/>
  <c r="BY8" i="21"/>
  <c r="T9" i="3"/>
  <c r="CX14" i="21"/>
  <c r="M5" i="3"/>
  <c r="BL11" i="21"/>
  <c r="BV11" i="21" s="1"/>
  <c r="CV7" i="21"/>
  <c r="CR8" i="21"/>
  <c r="DI8" i="21"/>
  <c r="F13" i="1"/>
  <c r="BH11" i="21"/>
  <c r="BR11" i="21" s="1"/>
  <c r="F12" i="1"/>
  <c r="L11" i="3"/>
  <c r="DB6" i="21"/>
  <c r="CV8" i="21"/>
  <c r="CA8" i="21"/>
  <c r="Q11" i="3"/>
  <c r="BL12" i="21"/>
  <c r="BV12" i="21" s="1"/>
  <c r="BF13" i="21"/>
  <c r="BP13" i="21" s="1"/>
  <c r="CE15" i="21"/>
  <c r="K8" i="3"/>
  <c r="N9" i="3"/>
  <c r="DM5" i="21"/>
  <c r="C4" i="1" s="1"/>
  <c r="N13" i="3"/>
  <c r="BK14" i="21"/>
  <c r="BU14" i="21" s="1"/>
  <c r="BZ13" i="21"/>
  <c r="BG9" i="21"/>
  <c r="BQ9" i="21" s="1"/>
  <c r="DA15" i="21"/>
  <c r="CX8" i="21"/>
  <c r="DG7" i="21"/>
  <c r="CX15" i="21"/>
  <c r="N14" i="3"/>
  <c r="CV5" i="21"/>
  <c r="CB6" i="21"/>
  <c r="BD12" i="21"/>
  <c r="BN12" i="21" s="1"/>
  <c r="DH11" i="21"/>
  <c r="Q9" i="3"/>
  <c r="J14" i="3"/>
  <c r="CS12" i="21"/>
  <c r="CZ8" i="21"/>
  <c r="CA11" i="21"/>
  <c r="BX9" i="21"/>
  <c r="CA5" i="21"/>
  <c r="BG15" i="21"/>
  <c r="BQ15" i="21" s="1"/>
  <c r="BD8" i="21"/>
  <c r="BN8" i="21" s="1"/>
  <c r="BM5" i="21"/>
  <c r="DK11" i="21"/>
  <c r="DI9" i="21"/>
  <c r="M8" i="3"/>
  <c r="DG11" i="21"/>
  <c r="BI6" i="21"/>
  <c r="BS6" i="21" s="1"/>
  <c r="DG13" i="21"/>
  <c r="S12" i="3"/>
  <c r="P4" i="3"/>
  <c r="DJ11" i="21"/>
  <c r="K5" i="3"/>
  <c r="BD11" i="21"/>
  <c r="BN11" i="21" s="1"/>
  <c r="CB15" i="21"/>
  <c r="CX7" i="21"/>
  <c r="CW14" i="21"/>
  <c r="Q3" i="3"/>
  <c r="DM10" i="21"/>
  <c r="C9" i="1" s="1"/>
  <c r="F13" i="3"/>
  <c r="BJ15" i="21"/>
  <c r="BT15" i="21" s="1"/>
  <c r="BL13" i="21"/>
  <c r="BV13" i="21" s="1"/>
  <c r="CG9" i="21"/>
  <c r="BY11" i="21"/>
  <c r="AB4" i="3"/>
  <c r="BL15" i="21"/>
  <c r="BV15" i="21" s="1"/>
  <c r="CV10" i="21"/>
  <c r="CB12" i="21"/>
  <c r="BX8" i="21"/>
  <c r="DG14" i="21"/>
  <c r="DK7" i="21"/>
  <c r="CD7" i="21"/>
  <c r="DA5" i="21"/>
  <c r="DJ10" i="21"/>
  <c r="DB8" i="21"/>
  <c r="DL8" i="21"/>
  <c r="B7" i="1" s="1"/>
  <c r="BD7" i="21"/>
  <c r="BN7" i="21" s="1"/>
  <c r="CA13" i="21"/>
  <c r="AA14" i="3"/>
  <c r="E14" i="3"/>
  <c r="BE7" i="21"/>
  <c r="BO7" i="21" s="1"/>
  <c r="DE10" i="21"/>
  <c r="BI7" i="21"/>
  <c r="BS7" i="21" s="1"/>
  <c r="CD11" i="21"/>
  <c r="AB8" i="3"/>
  <c r="DJ13" i="21"/>
  <c r="CU7" i="21"/>
  <c r="CD5" i="21"/>
  <c r="CS14" i="21"/>
  <c r="CZ13" i="21"/>
  <c r="CU6" i="21"/>
  <c r="N3" i="3"/>
  <c r="BI15" i="21"/>
  <c r="BS15" i="21" s="1"/>
  <c r="DJ12" i="21"/>
  <c r="DG12" i="21"/>
  <c r="CF12" i="21"/>
  <c r="BX5" i="21"/>
  <c r="AA8" i="3"/>
  <c r="CF6" i="21"/>
  <c r="K13" i="3"/>
  <c r="BD15" i="21"/>
  <c r="BN15" i="21" s="1"/>
  <c r="CE9" i="21"/>
  <c r="BK8" i="21"/>
  <c r="BU8" i="21" s="1"/>
  <c r="CX6" i="21"/>
  <c r="CE7" i="21"/>
  <c r="DM8" i="21"/>
  <c r="C7" i="1" s="1"/>
  <c r="CW10" i="21"/>
  <c r="K6" i="3"/>
  <c r="S6" i="3"/>
  <c r="DE12" i="21"/>
  <c r="BZ7" i="21"/>
  <c r="CT14" i="21"/>
  <c r="DE7" i="21"/>
  <c r="CC5" i="21"/>
  <c r="BH6" i="21"/>
  <c r="BR6" i="21" s="1"/>
  <c r="BL14" i="21"/>
  <c r="BV14" i="21" s="1"/>
  <c r="Q7" i="3"/>
  <c r="CE5" i="21"/>
  <c r="BK12" i="21"/>
  <c r="BU12" i="21" s="1"/>
  <c r="BG6" i="21"/>
  <c r="BQ6" i="21" s="1"/>
  <c r="CU12" i="21"/>
  <c r="BK15" i="21"/>
  <c r="BU15" i="21" s="1"/>
  <c r="CT10" i="21"/>
  <c r="BZ14" i="21"/>
  <c r="BE12" i="21"/>
  <c r="BO12" i="21" s="1"/>
  <c r="P12" i="3"/>
  <c r="CR12" i="21"/>
  <c r="CR6" i="21"/>
  <c r="F14" i="3"/>
  <c r="BD14" i="21"/>
  <c r="BN14" i="21" s="1"/>
  <c r="P8" i="3"/>
  <c r="DF11" i="21"/>
  <c r="CC15" i="21"/>
  <c r="CG15" i="21"/>
  <c r="DA6" i="21"/>
  <c r="CR7" i="21"/>
  <c r="BF7" i="21"/>
  <c r="BP7" i="21" s="1"/>
  <c r="CC13" i="21"/>
  <c r="BG13" i="21"/>
  <c r="BQ13" i="21" s="1"/>
  <c r="Q4" i="3"/>
  <c r="CS7" i="21"/>
  <c r="BZ11" i="21"/>
  <c r="BE13" i="21"/>
  <c r="BO13" i="21" s="1"/>
  <c r="DF6" i="21"/>
  <c r="DH13" i="21"/>
  <c r="BK7" i="21"/>
  <c r="BU7" i="21" s="1"/>
  <c r="BG12" i="21"/>
  <c r="BQ12" i="21" s="1"/>
  <c r="CY6" i="21"/>
  <c r="BX12" i="21"/>
  <c r="CX11" i="21"/>
  <c r="DD5" i="21"/>
  <c r="DE14" i="21"/>
  <c r="K11" i="3"/>
  <c r="O9" i="3"/>
  <c r="M4" i="3"/>
  <c r="CY8" i="21"/>
  <c r="CY5" i="21"/>
  <c r="BL5" i="21"/>
  <c r="BV5" i="21" s="1"/>
  <c r="BE15" i="21"/>
  <c r="BO15" i="21" s="1"/>
  <c r="CS9" i="21"/>
  <c r="BX10" i="21"/>
  <c r="BL7" i="21"/>
  <c r="BV7" i="21" s="1"/>
  <c r="BD10" i="21"/>
  <c r="BN10" i="21" s="1"/>
  <c r="DD12" i="21"/>
  <c r="BM15" i="21"/>
  <c r="N5" i="3"/>
  <c r="O6" i="3"/>
  <c r="CW5" i="21"/>
  <c r="BK6" i="21"/>
  <c r="BU6" i="21" s="1"/>
  <c r="DG10" i="21"/>
  <c r="DD7" i="21"/>
  <c r="T4" i="3"/>
  <c r="CC10" i="21"/>
  <c r="Q8" i="3"/>
  <c r="DI14" i="21"/>
  <c r="CZ10" i="21"/>
  <c r="DI11" i="21"/>
  <c r="BM12" i="21"/>
  <c r="M3" i="3"/>
  <c r="CD10" i="21"/>
  <c r="BE6" i="21"/>
  <c r="BO6" i="21" s="1"/>
  <c r="BH14" i="21"/>
  <c r="BR14" i="21" s="1"/>
  <c r="DC11" i="21"/>
  <c r="DI7" i="21"/>
  <c r="DF13" i="21"/>
  <c r="BI13" i="21"/>
  <c r="BS13" i="21" s="1"/>
  <c r="K10" i="3"/>
  <c r="DK12" i="21"/>
  <c r="R8" i="3"/>
  <c r="CS6" i="21"/>
  <c r="K3" i="3"/>
  <c r="BZ10" i="21"/>
  <c r="P10" i="3"/>
  <c r="M11" i="3"/>
  <c r="BJ5" i="21"/>
  <c r="BT5" i="21" s="1"/>
  <c r="DK5" i="21"/>
  <c r="DG9" i="21"/>
  <c r="S7" i="3"/>
  <c r="BZ6" i="21"/>
  <c r="CR15" i="21"/>
  <c r="BH9" i="21"/>
  <c r="BR9" i="21" s="1"/>
  <c r="N8" i="3"/>
  <c r="R4" i="3"/>
  <c r="CD13" i="21"/>
  <c r="BI5" i="21"/>
  <c r="BS5" i="21" s="1"/>
  <c r="CW15" i="21"/>
  <c r="DF15" i="21"/>
  <c r="BX13" i="21"/>
  <c r="S10" i="3"/>
  <c r="DC5" i="21"/>
  <c r="DA8" i="21"/>
  <c r="F11" i="3"/>
  <c r="O8" i="3"/>
  <c r="DD9" i="21"/>
  <c r="CG8" i="21"/>
  <c r="O4" i="3"/>
  <c r="M14" i="3"/>
  <c r="M9" i="3"/>
  <c r="BF8" i="21"/>
  <c r="BP8" i="21" s="1"/>
  <c r="S4" i="3"/>
  <c r="O14" i="3"/>
  <c r="E11" i="3"/>
  <c r="P9" i="3"/>
  <c r="CE8" i="21"/>
  <c r="CU14" i="21"/>
  <c r="R13" i="3"/>
  <c r="CX9" i="21"/>
  <c r="BH5" i="21"/>
  <c r="BR5" i="21" s="1"/>
  <c r="CA14" i="21"/>
  <c r="CA10" i="21"/>
  <c r="BY14" i="21"/>
  <c r="N4" i="3"/>
  <c r="CZ9" i="21"/>
  <c r="Q13" i="3"/>
  <c r="BG14" i="21"/>
  <c r="BQ14" i="21" s="1"/>
  <c r="CE14" i="21"/>
  <c r="BJ11" i="21"/>
  <c r="BT11" i="21" s="1"/>
  <c r="CG10" i="21"/>
  <c r="BM13" i="21"/>
  <c r="BW13" i="21" s="1"/>
  <c r="F8" i="1"/>
  <c r="L10" i="3"/>
  <c r="BI8" i="21"/>
  <c r="BS8" i="21" s="1"/>
  <c r="DJ14" i="21"/>
  <c r="DF8" i="21"/>
  <c r="T12" i="3"/>
  <c r="DK10" i="21"/>
  <c r="CX5" i="21"/>
  <c r="DB9" i="21"/>
  <c r="CT12" i="21"/>
  <c r="O10" i="3"/>
  <c r="DG8" i="21"/>
  <c r="J3" i="3"/>
  <c r="CB11" i="21"/>
  <c r="BD9" i="21"/>
  <c r="BN9" i="21" s="1"/>
  <c r="DM9" i="21"/>
  <c r="C8" i="1" s="1"/>
  <c r="BY7" i="21"/>
  <c r="DG15" i="21"/>
  <c r="E13" i="3"/>
  <c r="CW7" i="21"/>
  <c r="BZ12" i="21"/>
  <c r="R10" i="3"/>
  <c r="E10" i="3"/>
  <c r="BH12" i="21"/>
  <c r="BR12" i="21" s="1"/>
  <c r="DA7" i="21"/>
  <c r="CE6" i="21"/>
  <c r="CW12" i="21"/>
  <c r="CG7" i="21"/>
  <c r="BE8" i="21"/>
  <c r="BO8" i="21" s="1"/>
  <c r="M12" i="3"/>
  <c r="DH15" i="21"/>
  <c r="CY10" i="21"/>
  <c r="DC15" i="21"/>
  <c r="DK14" i="21"/>
  <c r="DH5" i="21"/>
  <c r="CU13" i="21"/>
  <c r="CF13" i="21"/>
  <c r="CF11" i="21"/>
  <c r="P7" i="3"/>
  <c r="DI15" i="21"/>
  <c r="S8" i="3"/>
  <c r="P13" i="3"/>
  <c r="F12" i="3"/>
  <c r="CX10" i="21"/>
  <c r="BK11" i="21"/>
  <c r="BU11" i="21" s="1"/>
  <c r="DL5" i="21"/>
  <c r="B4" i="1" s="1"/>
  <c r="N12" i="3"/>
  <c r="CD15" i="21"/>
  <c r="K9" i="3"/>
  <c r="M7" i="3"/>
  <c r="BD13" i="21"/>
  <c r="BN13" i="21" s="1"/>
  <c r="BM10" i="21"/>
  <c r="BW10" i="21" s="1"/>
  <c r="DF10" i="21"/>
  <c r="CG14" i="21"/>
  <c r="BY10" i="21"/>
  <c r="DJ6" i="21"/>
  <c r="CS13" i="21"/>
  <c r="CB9" i="21"/>
  <c r="CS8" i="21"/>
  <c r="S13" i="3"/>
  <c r="BF5" i="21"/>
  <c r="BP5" i="21" s="1"/>
  <c r="DM7" i="21"/>
  <c r="C6" i="1" s="1"/>
  <c r="DF7" i="21"/>
  <c r="L4" i="3"/>
  <c r="N6" i="3"/>
  <c r="L8" i="3"/>
  <c r="CG11" i="21"/>
  <c r="DD8" i="21"/>
  <c r="BF12" i="21"/>
  <c r="BP12" i="21" s="1"/>
  <c r="CG12" i="21"/>
  <c r="BJ14" i="21"/>
  <c r="BT14" i="21" s="1"/>
  <c r="CB5" i="21"/>
  <c r="BF15" i="21"/>
  <c r="BP15" i="21" s="1"/>
  <c r="CU5" i="21"/>
  <c r="P6" i="3"/>
  <c r="CY11" i="21"/>
  <c r="CR9" i="21"/>
  <c r="CE13" i="21"/>
  <c r="DE8" i="21"/>
  <c r="DC14" i="21"/>
  <c r="CA15" i="21"/>
  <c r="BF9" i="21"/>
  <c r="BP9" i="21" s="1"/>
  <c r="BY12" i="21"/>
  <c r="DH12" i="21"/>
  <c r="CE10" i="21"/>
  <c r="DC10" i="21"/>
  <c r="DD6" i="21"/>
  <c r="F9" i="1"/>
  <c r="CU15" i="21"/>
  <c r="CZ12" i="21"/>
  <c r="BJ9" i="21"/>
  <c r="BT9" i="21" s="1"/>
  <c r="T7" i="3"/>
  <c r="O7" i="3"/>
  <c r="DE6" i="21"/>
  <c r="O5" i="3"/>
  <c r="DA9" i="21"/>
  <c r="L6" i="3"/>
  <c r="DA12" i="21"/>
  <c r="CD14" i="21"/>
  <c r="DK13" i="21"/>
  <c r="O13" i="3"/>
  <c r="CD8" i="21"/>
  <c r="N11" i="3"/>
  <c r="CE12" i="21"/>
  <c r="DC6" i="21"/>
  <c r="K4" i="3"/>
  <c r="CD6" i="21"/>
  <c r="M6" i="3"/>
  <c r="CY9" i="21"/>
  <c r="Q5" i="3"/>
  <c r="R5" i="3"/>
  <c r="CV6" i="21"/>
  <c r="CZ14" i="21"/>
  <c r="BD5" i="21"/>
  <c r="BN5" i="21" s="1"/>
  <c r="BH8" i="21"/>
  <c r="BR8" i="21" s="1"/>
  <c r="BY13" i="21"/>
  <c r="CS5" i="21"/>
  <c r="BM7" i="21"/>
  <c r="BH7" i="21"/>
  <c r="BR7" i="21" s="1"/>
  <c r="DE15" i="21"/>
  <c r="CR13" i="21"/>
  <c r="BM11" i="21"/>
  <c r="CF14" i="21"/>
  <c r="CC14" i="21"/>
  <c r="T11" i="3"/>
  <c r="DE13" i="21"/>
  <c r="DK8" i="21"/>
  <c r="AC3" i="3"/>
  <c r="DH6" i="21"/>
  <c r="BK5" i="21"/>
  <c r="BU5" i="21" s="1"/>
  <c r="L9" i="3"/>
  <c r="CY13" i="21"/>
  <c r="BE9" i="21"/>
  <c r="BO9" i="21" s="1"/>
  <c r="DI10" i="21"/>
  <c r="BX15" i="21"/>
  <c r="BX11" i="21"/>
  <c r="DC13" i="21"/>
  <c r="BI12" i="21"/>
  <c r="BS12" i="21" s="1"/>
  <c r="CW11" i="21"/>
  <c r="CZ11" i="21"/>
  <c r="S9" i="3"/>
  <c r="BK10" i="21"/>
  <c r="BU10" i="21" s="1"/>
  <c r="AB14" i="3"/>
  <c r="DD10" i="21"/>
  <c r="CC12" i="21"/>
  <c r="DB10" i="21"/>
  <c r="DH9" i="21"/>
  <c r="CB7" i="21"/>
  <c r="CF8" i="21"/>
  <c r="BG10" i="21"/>
  <c r="BQ10" i="21" s="1"/>
  <c r="N7" i="3"/>
  <c r="DI12" i="21"/>
  <c r="BZ15" i="21"/>
  <c r="S11" i="3"/>
  <c r="S5" i="3"/>
  <c r="R12" i="3"/>
  <c r="DB7" i="21"/>
  <c r="BJ8" i="21"/>
  <c r="BT8" i="21" s="1"/>
  <c r="BD6" i="21"/>
  <c r="BN6" i="21" s="1"/>
  <c r="CC7" i="21"/>
  <c r="CT13" i="21"/>
  <c r="CV15" i="21"/>
  <c r="Q10" i="3"/>
  <c r="P3" i="3"/>
  <c r="BE5" i="21"/>
  <c r="BO5" i="21" s="1"/>
  <c r="BZ9" i="21"/>
  <c r="S14" i="3"/>
  <c r="BJ12" i="21"/>
  <c r="BT12" i="21" s="1"/>
  <c r="DL10" i="21"/>
  <c r="B9" i="1" s="1"/>
  <c r="CF5" i="21"/>
  <c r="DJ9" i="21"/>
  <c r="DA14" i="21"/>
  <c r="BY5" i="21"/>
  <c r="BX6" i="21"/>
  <c r="DF12" i="21"/>
  <c r="M13" i="3"/>
  <c r="CY12" i="21"/>
  <c r="BH15" i="21"/>
  <c r="BR15" i="21" s="1"/>
  <c r="BM14" i="21"/>
  <c r="CR14" i="21"/>
  <c r="T13" i="3"/>
  <c r="CA9" i="21"/>
  <c r="P11" i="3"/>
  <c r="CT7" i="21"/>
  <c r="BK13" i="21"/>
  <c r="BU13" i="21" s="1"/>
  <c r="BJ7" i="21"/>
  <c r="BT7" i="21" s="1"/>
  <c r="DF14" i="21"/>
  <c r="DL9" i="21"/>
  <c r="B8" i="1" s="1"/>
  <c r="CF10" i="21"/>
  <c r="BE14" i="21"/>
  <c r="BO14" i="21" s="1"/>
  <c r="BY6" i="21"/>
  <c r="CY15" i="21"/>
  <c r="BE10" i="21"/>
  <c r="BO10" i="21" s="1"/>
  <c r="BL8" i="21"/>
  <c r="BV8" i="21" s="1"/>
  <c r="Q14" i="3"/>
  <c r="DB15" i="21"/>
  <c r="DB14" i="21"/>
  <c r="BI9" i="21"/>
  <c r="BS9" i="21" s="1"/>
  <c r="CC6" i="21"/>
  <c r="DH10" i="21"/>
  <c r="CU11" i="21"/>
  <c r="BK9" i="21"/>
  <c r="BU9" i="21" s="1"/>
  <c r="BM8" i="21"/>
  <c r="BG7" i="21"/>
  <c r="BQ7" i="21" s="1"/>
  <c r="L14" i="3"/>
  <c r="CC11" i="21"/>
  <c r="DI6" i="21"/>
  <c r="DJ8" i="21"/>
  <c r="CW13" i="21"/>
  <c r="F10" i="3"/>
  <c r="CY7" i="21"/>
  <c r="R6" i="3"/>
  <c r="T14" i="3"/>
  <c r="R7" i="3"/>
  <c r="CV11" i="21"/>
  <c r="CF9" i="21"/>
  <c r="DK6" i="21"/>
  <c r="L13" i="3"/>
  <c r="BG5" i="21"/>
  <c r="BQ5" i="21" s="1"/>
  <c r="CB10" i="21"/>
  <c r="O11" i="3"/>
  <c r="DD11" i="21"/>
  <c r="CB14" i="21"/>
  <c r="L3" i="3"/>
  <c r="BM6" i="21"/>
  <c r="DD14" i="21"/>
  <c r="T5" i="3"/>
  <c r="DD13" i="21"/>
  <c r="DB12" i="21"/>
  <c r="CT5" i="21"/>
  <c r="DJ15" i="21"/>
  <c r="BJ6" i="21"/>
  <c r="BT6" i="21" s="1"/>
  <c r="CT11" i="21"/>
  <c r="BH13" i="21"/>
  <c r="BR13" i="21" s="1"/>
  <c r="CC9" i="21"/>
  <c r="CW9" i="21"/>
  <c r="DJ7" i="21"/>
  <c r="R14" i="3"/>
  <c r="CG5" i="21"/>
  <c r="CB13" i="21"/>
  <c r="BY9" i="21"/>
  <c r="DA11" i="21"/>
  <c r="DH7" i="21"/>
  <c r="Q12" i="3"/>
  <c r="DI5" i="21"/>
  <c r="CR11" i="21"/>
  <c r="AB11" i="3"/>
  <c r="BL6" i="21"/>
  <c r="BV6" i="21" s="1"/>
  <c r="CA7" i="21"/>
  <c r="BF6" i="21"/>
  <c r="BP6" i="21" s="1"/>
  <c r="CT6" i="21"/>
  <c r="K14" i="3"/>
  <c r="BI10" i="21"/>
  <c r="BS10" i="21" s="1"/>
  <c r="DE11" i="21"/>
  <c r="M10" i="3"/>
  <c r="DJ5" i="21"/>
  <c r="DG6" i="21"/>
  <c r="CV14" i="21"/>
  <c r="CR5" i="21"/>
  <c r="BZ5" i="21"/>
  <c r="BG11" i="21"/>
  <c r="BQ11" i="21" s="1"/>
  <c r="DC9" i="21"/>
  <c r="T8" i="3"/>
  <c r="DH8" i="21"/>
  <c r="CV12" i="21"/>
  <c r="CU8" i="21"/>
  <c r="DK15" i="21"/>
  <c r="BH10" i="21"/>
  <c r="BR10" i="21" s="1"/>
  <c r="BI11" i="21"/>
  <c r="BS11" i="21" s="1"/>
  <c r="CT8" i="21"/>
  <c r="DC8" i="21"/>
  <c r="R9" i="3"/>
  <c r="DF5" i="21"/>
  <c r="CF15" i="21"/>
  <c r="BX14" i="21"/>
  <c r="CG13" i="21"/>
  <c r="BZ8" i="21"/>
  <c r="Q6" i="3"/>
  <c r="CR10" i="21"/>
  <c r="R3" i="3"/>
  <c r="P14" i="3"/>
  <c r="BX7" i="21"/>
  <c r="N10" i="3"/>
  <c r="CZ15" i="21"/>
  <c r="BI14" i="21"/>
  <c r="BS14" i="21" s="1"/>
  <c r="CW6" i="21"/>
  <c r="BF14" i="21"/>
  <c r="BP14" i="21" s="1"/>
  <c r="CX13" i="21"/>
  <c r="DE9" i="21"/>
  <c r="CG6" i="21"/>
  <c r="CY14" i="21"/>
  <c r="CA12" i="21"/>
  <c r="CD9" i="21"/>
  <c r="CV9" i="21"/>
  <c r="CW8" i="21"/>
  <c r="DC7" i="21"/>
  <c r="T6" i="3"/>
  <c r="DG5" i="21"/>
  <c r="AD5" i="3"/>
  <c r="AD3" i="3"/>
  <c r="AD10" i="3"/>
  <c r="AD9" i="3"/>
  <c r="AD12" i="3"/>
  <c r="AD4" i="3"/>
  <c r="AD11" i="3"/>
  <c r="AD6" i="3"/>
  <c r="K1" i="20"/>
  <c r="J2" i="20"/>
  <c r="J1" i="13"/>
  <c r="J2" i="13" s="1" a="1"/>
  <c r="J2" i="13" s="1"/>
  <c r="J53" i="13" s="1"/>
  <c r="I28" i="20"/>
  <c r="AE2" i="3" a="1"/>
  <c r="AE2" i="3" s="1"/>
  <c r="AF1" i="3"/>
  <c r="V3" i="21"/>
  <c r="AQ3" i="21"/>
  <c r="M114" i="5"/>
  <c r="N114" i="5" s="1"/>
  <c r="O113" i="5"/>
  <c r="L115" i="5"/>
  <c r="AE12" i="3" a="1"/>
  <c r="AE9" i="3" a="1"/>
  <c r="AE11" i="3" a="1"/>
  <c r="AE6" i="3" a="1"/>
  <c r="AE4" i="3" a="1"/>
  <c r="AE5" i="3" a="1"/>
  <c r="M9" i="1" a="1"/>
  <c r="S9" i="1" a="1"/>
  <c r="S13" i="1" a="1"/>
  <c r="H12" i="1" a="1"/>
  <c r="D13" i="1" a="1"/>
  <c r="M14" i="1" a="1"/>
  <c r="R7" i="1" a="1"/>
  <c r="R9" i="1" a="1"/>
  <c r="D6" i="1" a="1"/>
  <c r="S12" i="1" a="1"/>
  <c r="O13" i="1" a="1"/>
  <c r="H14" i="1" a="1"/>
  <c r="R14" i="1" a="1"/>
  <c r="P13" i="1" a="1"/>
  <c r="O12" i="1" a="1"/>
  <c r="R10" i="1" a="1"/>
  <c r="N13" i="1" a="1"/>
  <c r="H8" i="1" a="1"/>
  <c r="R5" i="1" a="1"/>
  <c r="M4" i="1" a="1"/>
  <c r="AE8" i="3" a="1"/>
  <c r="R6" i="1" a="1"/>
  <c r="N6" i="1" a="1"/>
  <c r="S14" i="1" a="1"/>
  <c r="P10" i="1" a="1"/>
  <c r="S5" i="1" a="1"/>
  <c r="Q13" i="1" a="1"/>
  <c r="S11" i="1" a="1"/>
  <c r="R4" i="1" a="1"/>
  <c r="N9" i="1" a="1"/>
  <c r="O14" i="1" a="1"/>
  <c r="D11" i="1" a="1"/>
  <c r="P8" i="1" a="1"/>
  <c r="H9" i="1" a="1"/>
  <c r="M8" i="1" a="1"/>
  <c r="R13" i="1" a="1"/>
  <c r="M10" i="1" a="1"/>
  <c r="D5" i="1" a="1"/>
  <c r="P11" i="1" a="1"/>
  <c r="O10" i="1" a="1"/>
  <c r="D7" i="1" a="1"/>
  <c r="O11" i="1" a="1"/>
  <c r="S6" i="1" a="1"/>
  <c r="M6" i="1" a="1"/>
  <c r="Q7" i="1" a="1"/>
  <c r="AE10" i="3" a="1"/>
  <c r="H11" i="1" a="1"/>
  <c r="N4" i="1" a="1"/>
  <c r="D4" i="1" a="1"/>
  <c r="S7" i="1" a="1"/>
  <c r="N7" i="1" a="1"/>
  <c r="H7" i="1" a="1"/>
  <c r="P9" i="1" a="1"/>
  <c r="M5" i="1" a="1"/>
  <c r="H4" i="1" a="1"/>
  <c r="O9" i="1" a="1"/>
  <c r="E12" i="1" a="1"/>
  <c r="Q5" i="1" a="1"/>
  <c r="D8" i="1" a="1"/>
  <c r="O8" i="1" a="1"/>
  <c r="P12" i="1" a="1"/>
  <c r="N8" i="1" a="1"/>
  <c r="D14" i="1" a="1"/>
  <c r="O5" i="1" a="1"/>
  <c r="H5" i="1" a="1"/>
  <c r="D10" i="1" a="1"/>
  <c r="P7" i="1" a="1"/>
  <c r="M12" i="1" a="1"/>
  <c r="N11" i="1" a="1"/>
  <c r="P4" i="1" a="1"/>
  <c r="R11" i="1" a="1"/>
  <c r="AE13" i="3" a="1"/>
  <c r="S4" i="1" a="1"/>
  <c r="R12" i="1" a="1"/>
  <c r="D12" i="1" a="1"/>
  <c r="S8" i="1" a="1"/>
  <c r="Q14" i="1" a="1"/>
  <c r="Q11" i="1" a="1"/>
  <c r="Q6" i="1" a="1"/>
  <c r="P6" i="1" a="1"/>
  <c r="Q10" i="1" a="1"/>
  <c r="N10" i="1" a="1"/>
  <c r="N5" i="1" a="1"/>
  <c r="R8" i="1" a="1"/>
  <c r="M7" i="1" a="1"/>
  <c r="H13" i="1" a="1"/>
  <c r="AE3" i="3" a="1"/>
  <c r="P5" i="1" a="1"/>
  <c r="M11" i="1" a="1"/>
  <c r="O7" i="1" a="1"/>
  <c r="N12" i="1" a="1"/>
  <c r="Q12" i="1" a="1"/>
  <c r="Q9" i="1" a="1"/>
  <c r="Q4" i="1" a="1"/>
  <c r="O6" i="1" a="1"/>
  <c r="O4" i="1" a="1"/>
  <c r="H10" i="1" a="1"/>
  <c r="N14" i="1" a="1"/>
  <c r="H6" i="1" a="1"/>
  <c r="E9" i="1" a="1"/>
  <c r="S10" i="1" a="1"/>
  <c r="M13" i="1" a="1"/>
  <c r="Q8" i="1" a="1"/>
  <c r="P14" i="1" a="1"/>
  <c r="D9" i="1" a="1"/>
  <c r="AE7" i="3" a="1"/>
  <c r="AE7" i="3" l="1"/>
  <c r="AE8" i="3"/>
  <c r="AE13" i="3"/>
  <c r="S13" i="1"/>
  <c r="P13" i="1"/>
  <c r="U13" i="3" s="1" a="1"/>
  <c r="R13" i="1"/>
  <c r="Q13" i="1"/>
  <c r="V13" i="3" s="1" a="1"/>
  <c r="D10" i="1"/>
  <c r="R12" i="1"/>
  <c r="P12" i="1"/>
  <c r="Q12" i="1"/>
  <c r="S12" i="1"/>
  <c r="N14" i="1"/>
  <c r="O14" i="1"/>
  <c r="M14" i="1"/>
  <c r="R11" i="1"/>
  <c r="W11" i="3" s="1" a="1"/>
  <c r="Q11" i="1"/>
  <c r="S11" i="1"/>
  <c r="P11" i="1"/>
  <c r="O5" i="1"/>
  <c r="M5" i="1"/>
  <c r="N5" i="1"/>
  <c r="D9" i="1"/>
  <c r="N6" i="1"/>
  <c r="M6" i="1"/>
  <c r="O6" i="1"/>
  <c r="N10" i="1"/>
  <c r="M10" i="1"/>
  <c r="O10" i="1"/>
  <c r="D8" i="1"/>
  <c r="N8" i="1"/>
  <c r="M8" i="1"/>
  <c r="O8" i="1"/>
  <c r="O9" i="1"/>
  <c r="M9" i="1"/>
  <c r="N9" i="1"/>
  <c r="D11" i="1"/>
  <c r="R5" i="1"/>
  <c r="S5" i="1"/>
  <c r="Q5" i="1"/>
  <c r="P5" i="1"/>
  <c r="U5" i="3" s="1" a="1"/>
  <c r="U5" i="3" s="1"/>
  <c r="D4" i="1"/>
  <c r="D12" i="1"/>
  <c r="P7" i="1"/>
  <c r="S7" i="1"/>
  <c r="Q7" i="1"/>
  <c r="V7" i="3" s="1" a="1"/>
  <c r="R7" i="1"/>
  <c r="P9" i="1"/>
  <c r="U9" i="3" s="1" a="1"/>
  <c r="U9" i="3" s="1"/>
  <c r="S9" i="1"/>
  <c r="Q9" i="1"/>
  <c r="R9" i="1"/>
  <c r="H12" i="1"/>
  <c r="P10" i="1"/>
  <c r="S10" i="1"/>
  <c r="Q10" i="1"/>
  <c r="V10" i="3" s="1" a="1"/>
  <c r="R10" i="1"/>
  <c r="D7" i="1"/>
  <c r="R8" i="1"/>
  <c r="P8" i="1"/>
  <c r="U8" i="3" s="1" a="1"/>
  <c r="S8" i="1"/>
  <c r="Q8" i="1"/>
  <c r="H7" i="1"/>
  <c r="H8" i="1"/>
  <c r="H10" i="1"/>
  <c r="H9" i="1"/>
  <c r="D14" i="1"/>
  <c r="H5" i="1"/>
  <c r="O7" i="1"/>
  <c r="N7" i="1"/>
  <c r="M7" i="1"/>
  <c r="M13" i="1"/>
  <c r="O13" i="1"/>
  <c r="N13" i="1"/>
  <c r="M4" i="1"/>
  <c r="O4" i="1"/>
  <c r="N4" i="1"/>
  <c r="N11" i="1"/>
  <c r="O11" i="1"/>
  <c r="M11" i="1"/>
  <c r="H14" i="1"/>
  <c r="H4" i="1"/>
  <c r="D5" i="1"/>
  <c r="D6" i="1"/>
  <c r="N12" i="1"/>
  <c r="M12" i="1"/>
  <c r="O12" i="1"/>
  <c r="P6" i="1"/>
  <c r="S6" i="1"/>
  <c r="Q6" i="1"/>
  <c r="R6" i="1"/>
  <c r="R14" i="1"/>
  <c r="W14" i="3" s="1" a="1"/>
  <c r="W14" i="3" s="1"/>
  <c r="P14" i="1"/>
  <c r="S14" i="1"/>
  <c r="X14" i="3" s="1" a="1"/>
  <c r="X14" i="3" s="1"/>
  <c r="Q14" i="1"/>
  <c r="D13" i="1"/>
  <c r="H13" i="1"/>
  <c r="H11" i="1"/>
  <c r="H6" i="1"/>
  <c r="S4" i="1"/>
  <c r="R4" i="1"/>
  <c r="Q4" i="1"/>
  <c r="P4" i="1"/>
  <c r="U4" i="3" s="1" a="1"/>
  <c r="BW11" i="21"/>
  <c r="BW9" i="21"/>
  <c r="BW12" i="21"/>
  <c r="BW5" i="21"/>
  <c r="DK30" i="21"/>
  <c r="BW8" i="21"/>
  <c r="BW15" i="21"/>
  <c r="BW6" i="21"/>
  <c r="BW7" i="21"/>
  <c r="BW14" i="21"/>
  <c r="E9" i="1"/>
  <c r="E12" i="1"/>
  <c r="AE11" i="3"/>
  <c r="AE3" i="3"/>
  <c r="AE9" i="3"/>
  <c r="AE5" i="3"/>
  <c r="AE4" i="3"/>
  <c r="AE12" i="3"/>
  <c r="AE10" i="3"/>
  <c r="AE6" i="3"/>
  <c r="L1" i="20"/>
  <c r="K2" i="20"/>
  <c r="K1" i="13"/>
  <c r="K2" i="13" s="1" a="1"/>
  <c r="K2" i="13" s="1"/>
  <c r="K53" i="13" s="1"/>
  <c r="J28" i="20"/>
  <c r="AF2" i="3" a="1"/>
  <c r="AF2" i="3" s="1"/>
  <c r="AG1" i="3"/>
  <c r="W3" i="21"/>
  <c r="AR3" i="21"/>
  <c r="O112" i="5"/>
  <c r="M112" i="5" s="1"/>
  <c r="N112" i="5" s="1"/>
  <c r="L116" i="5"/>
  <c r="M115" i="5"/>
  <c r="N115" i="5" s="1"/>
  <c r="M113" i="5"/>
  <c r="AF8" i="3" a="1"/>
  <c r="AF13" i="3" a="1"/>
  <c r="E6" i="1" a="1"/>
  <c r="V5" i="3" a="1"/>
  <c r="E4" i="1" a="1"/>
  <c r="U6" i="3" a="1"/>
  <c r="AF5" i="3" a="1"/>
  <c r="AF11" i="3" a="1"/>
  <c r="E5" i="1" a="1"/>
  <c r="E7" i="1" a="1"/>
  <c r="U10" i="3" a="1"/>
  <c r="W12" i="3" a="1"/>
  <c r="E10" i="1" a="1"/>
  <c r="V9" i="3" a="1"/>
  <c r="V4" i="3" a="1"/>
  <c r="E8" i="1" a="1"/>
  <c r="V14" i="3" a="1"/>
  <c r="H14" i="3" a="1"/>
  <c r="W7" i="3" a="1"/>
  <c r="E11" i="1" a="1"/>
  <c r="E13" i="1" a="1"/>
  <c r="V6" i="3" a="1"/>
  <c r="E14" i="1" a="1"/>
  <c r="U14" i="3" a="1"/>
  <c r="AF5" i="3" l="1"/>
  <c r="U10" i="3"/>
  <c r="V9" i="3"/>
  <c r="W7" i="3"/>
  <c r="V6" i="3"/>
  <c r="U6" i="3"/>
  <c r="V5" i="3"/>
  <c r="U4" i="3"/>
  <c r="G12" i="1"/>
  <c r="G9" i="1"/>
  <c r="V10" i="3"/>
  <c r="E5" i="1"/>
  <c r="G5" i="1" s="1"/>
  <c r="E8" i="1"/>
  <c r="G8" i="1" s="1"/>
  <c r="U14" i="3"/>
  <c r="E14" i="1"/>
  <c r="W11" i="3"/>
  <c r="H14" i="3"/>
  <c r="E7" i="1"/>
  <c r="G7" i="1" s="1"/>
  <c r="E13" i="1"/>
  <c r="G13" i="1" s="1"/>
  <c r="V14" i="3"/>
  <c r="E4" i="1"/>
  <c r="G4" i="1" s="1"/>
  <c r="E11" i="1"/>
  <c r="G11" i="1" s="1"/>
  <c r="U8" i="3"/>
  <c r="V13" i="3"/>
  <c r="V7" i="3"/>
  <c r="W12" i="3"/>
  <c r="V4" i="3"/>
  <c r="U13" i="3"/>
  <c r="E6" i="1"/>
  <c r="G6" i="1" s="1"/>
  <c r="E10" i="1"/>
  <c r="G10" i="1" s="1"/>
  <c r="AF13" i="3"/>
  <c r="AF11" i="3"/>
  <c r="AF8" i="3"/>
  <c r="M1" i="20"/>
  <c r="L2" i="20"/>
  <c r="L1" i="13"/>
  <c r="L2" i="13" s="1" a="1"/>
  <c r="L2" i="13" s="1"/>
  <c r="L53" i="13" s="1"/>
  <c r="K28" i="20"/>
  <c r="AG2" i="3" a="1"/>
  <c r="AG2" i="3" s="1"/>
  <c r="AH1" i="3"/>
  <c r="X3" i="21"/>
  <c r="AT3" i="21" s="1"/>
  <c r="AS3" i="21"/>
  <c r="M116" i="5"/>
  <c r="N116" i="5" s="1"/>
  <c r="O111" i="5"/>
  <c r="M111" i="5" s="1"/>
  <c r="N111" i="5" s="1"/>
  <c r="L117" i="5"/>
  <c r="N113" i="5"/>
  <c r="AG7" i="3" a="1"/>
  <c r="AG13" i="3" a="1"/>
  <c r="G14" i="3" a="1"/>
  <c r="AG14" i="3" a="1"/>
  <c r="AG11" i="3" a="1"/>
  <c r="AG6" i="3" a="1"/>
  <c r="AG10" i="3" a="1"/>
  <c r="AG3" i="3" a="1"/>
  <c r="AG6" i="3" l="1"/>
  <c r="AG10" i="3"/>
  <c r="AG11" i="3"/>
  <c r="G14" i="3"/>
  <c r="G14" i="1"/>
  <c r="AG7" i="3"/>
  <c r="AG13" i="3"/>
  <c r="AG3" i="3"/>
  <c r="AG14" i="3"/>
  <c r="N1" i="20"/>
  <c r="M2" i="20"/>
  <c r="M1" i="13"/>
  <c r="M2" i="13" s="1" a="1"/>
  <c r="M2" i="13" s="1"/>
  <c r="M53" i="13" s="1"/>
  <c r="L28" i="20"/>
  <c r="AH2" i="3" a="1"/>
  <c r="AH2" i="3" s="1"/>
  <c r="AI1" i="3"/>
  <c r="M117" i="5"/>
  <c r="N117" i="5" s="1"/>
  <c r="O110" i="5"/>
  <c r="M110" i="5" s="1"/>
  <c r="N110" i="5" s="1"/>
  <c r="AH3" i="3" a="1"/>
  <c r="I14" i="3" a="1"/>
  <c r="I14" i="3" l="1"/>
  <c r="AH3" i="3"/>
  <c r="N2" i="20"/>
  <c r="O1" i="20"/>
  <c r="N1" i="13"/>
  <c r="N2" i="13" s="1" a="1"/>
  <c r="N2" i="13" s="1"/>
  <c r="N53" i="13" s="1"/>
  <c r="M28" i="20"/>
  <c r="AI2" i="3" a="1"/>
  <c r="AI2" i="3" s="1"/>
  <c r="AJ1" i="3"/>
  <c r="AI12" i="3" a="1"/>
  <c r="AI14" i="3" a="1"/>
  <c r="AI3" i="3" a="1"/>
  <c r="AI11" i="3" a="1"/>
  <c r="AI5" i="3" a="1"/>
  <c r="AI6" i="3" a="1"/>
  <c r="AI13" i="3" a="1"/>
  <c r="AI4" i="3" a="1"/>
  <c r="AI9" i="3" a="1"/>
  <c r="AI8" i="3" a="1"/>
  <c r="AI7" i="3" a="1"/>
  <c r="AI10" i="3" a="1"/>
  <c r="AI13" i="3" l="1"/>
  <c r="AI6" i="3"/>
  <c r="AI12" i="3"/>
  <c r="AI8" i="3"/>
  <c r="AI7" i="3"/>
  <c r="AI11" i="3"/>
  <c r="AI10" i="3"/>
  <c r="AI3" i="3"/>
  <c r="AI4" i="3"/>
  <c r="AI14" i="3"/>
  <c r="AI9" i="3"/>
  <c r="AI5" i="3"/>
  <c r="O2" i="20"/>
  <c r="P1" i="20"/>
  <c r="O1" i="13"/>
  <c r="O2" i="13" s="1" a="1"/>
  <c r="O2" i="13" s="1"/>
  <c r="O53" i="13" s="1"/>
  <c r="N28" i="20"/>
  <c r="AJ2" i="3" a="1"/>
  <c r="AJ2" i="3" s="1"/>
  <c r="AK1" i="3"/>
  <c r="AJ9" i="3" a="1"/>
  <c r="AJ12" i="3" a="1"/>
  <c r="AJ10" i="3" a="1"/>
  <c r="AJ4" i="3" a="1"/>
  <c r="AJ3" i="3" a="1"/>
  <c r="AJ11" i="3" a="1"/>
  <c r="AJ13" i="3" a="1"/>
  <c r="AJ14" i="3" a="1"/>
  <c r="AJ6" i="3" a="1"/>
  <c r="AJ5" i="3" a="1"/>
  <c r="AJ8" i="3" a="1"/>
  <c r="AJ8" i="3" l="1"/>
  <c r="AJ10" i="3"/>
  <c r="AJ5" i="3"/>
  <c r="AJ9" i="3"/>
  <c r="AJ11" i="3"/>
  <c r="AJ6" i="3"/>
  <c r="AJ4" i="3"/>
  <c r="AJ13" i="3"/>
  <c r="AJ14" i="3"/>
  <c r="AJ12" i="3"/>
  <c r="AJ3" i="3"/>
  <c r="Q1" i="20"/>
  <c r="P2" i="20"/>
  <c r="P1" i="13"/>
  <c r="P2" i="13" s="1" a="1"/>
  <c r="P2" i="13" s="1"/>
  <c r="P53" i="13" s="1"/>
  <c r="O28" i="20"/>
  <c r="AK2" i="3" a="1"/>
  <c r="AK2" i="3" s="1"/>
  <c r="AL1" i="3"/>
  <c r="AK12" i="3" a="1"/>
  <c r="AK13" i="3" a="1"/>
  <c r="AK6" i="3" a="1"/>
  <c r="AK10" i="3" a="1"/>
  <c r="AK4" i="3" a="1"/>
  <c r="AK5" i="3" a="1"/>
  <c r="AK14" i="3" a="1"/>
  <c r="AK11" i="3" a="1"/>
  <c r="AK3" i="3" a="1"/>
  <c r="AK5" i="3" l="1"/>
  <c r="AK10" i="3"/>
  <c r="AK4" i="3"/>
  <c r="AK3" i="3"/>
  <c r="AK14" i="3"/>
  <c r="AK11" i="3"/>
  <c r="AK12" i="3"/>
  <c r="AK13" i="3"/>
  <c r="AK6" i="3"/>
  <c r="R1" i="20"/>
  <c r="Q2" i="20"/>
  <c r="Q1" i="13"/>
  <c r="Q2" i="13" s="1" a="1"/>
  <c r="Q2" i="13" s="1"/>
  <c r="Q53" i="13" s="1"/>
  <c r="P28" i="20"/>
  <c r="AL2" i="3" a="1"/>
  <c r="AL2" i="3" s="1"/>
  <c r="AM1" i="3"/>
  <c r="AL14" i="3" a="1"/>
  <c r="AL13" i="3" a="1"/>
  <c r="AL7" i="3" a="1"/>
  <c r="AL11" i="3" a="1"/>
  <c r="AL6" i="3" a="1"/>
  <c r="AL3" i="3" a="1"/>
  <c r="AL10" i="3" a="1"/>
  <c r="AL6" i="3" l="1"/>
  <c r="AL10" i="3"/>
  <c r="AL11" i="3"/>
  <c r="AL3" i="3"/>
  <c r="AL13" i="3"/>
  <c r="AL7" i="3"/>
  <c r="AL14" i="3"/>
  <c r="R2" i="20"/>
  <c r="S1" i="20"/>
  <c r="S2" i="20" s="1"/>
  <c r="R1" i="13"/>
  <c r="R2" i="13" s="1" a="1"/>
  <c r="R2" i="13" s="1"/>
  <c r="R53" i="13" s="1"/>
  <c r="AM2" i="3" a="1"/>
  <c r="AM2" i="3" s="1"/>
  <c r="AN1" i="3"/>
  <c r="Q28" i="20"/>
  <c r="AM5" i="3" a="1"/>
  <c r="AM4" i="3" a="1"/>
  <c r="AM10" i="3" a="1"/>
  <c r="M6" i="2" a="1"/>
  <c r="L27" i="2" a="1"/>
  <c r="E6" i="3" a="1"/>
  <c r="O49" i="2" a="1"/>
  <c r="L17" i="2" a="1"/>
  <c r="M22" i="2" a="1"/>
  <c r="F3" i="1" a="1"/>
  <c r="CW4" i="21" a="1"/>
  <c r="CZ4" i="21" a="1"/>
  <c r="CB4" i="21" a="1"/>
  <c r="M12" i="2" a="1"/>
  <c r="K49" i="2" a="1"/>
  <c r="O18" i="2" a="1"/>
  <c r="L9" i="2" a="1"/>
  <c r="N4" i="15" a="1"/>
  <c r="CF4" i="21" a="1"/>
  <c r="CG4" i="21" a="1"/>
  <c r="O12" i="2" a="1"/>
  <c r="BM4" i="21" a="1"/>
  <c r="N7" i="2" a="1"/>
  <c r="BD4" i="21" a="1"/>
  <c r="O6" i="2" a="1"/>
  <c r="P26" i="2" a="1"/>
  <c r="L12" i="2" a="1"/>
  <c r="D7" i="15" a="1"/>
  <c r="H6" i="15" a="1"/>
  <c r="L20" i="2" a="1"/>
  <c r="K24" i="2" a="1"/>
  <c r="B12" i="18"/>
  <c r="AM9" i="3" a="1"/>
  <c r="K3" i="15" a="1"/>
  <c r="P19" i="18" a="1"/>
  <c r="DE4" i="21" a="1"/>
  <c r="Z16" i="18" a="1"/>
  <c r="P56" i="2" a="1"/>
  <c r="P54" i="2" a="1"/>
  <c r="K55" i="2" a="1"/>
  <c r="M8" i="15" a="1"/>
  <c r="L55" i="2" a="1"/>
  <c r="E8" i="3" a="1"/>
  <c r="O54" i="2" a="1"/>
  <c r="P23" i="2" a="1"/>
  <c r="P42" i="2" a="1"/>
  <c r="L10" i="2" a="1"/>
  <c r="N40" i="2" a="1"/>
  <c r="BI4" i="21" a="1"/>
  <c r="P24" i="2" a="1"/>
  <c r="K41" i="2" a="1"/>
  <c r="P19" i="2" a="1"/>
  <c r="H3" i="15" a="1"/>
  <c r="AM3" i="3" a="1"/>
  <c r="N5" i="2" a="1"/>
  <c r="N6" i="2" a="1"/>
  <c r="N13" i="2" a="1"/>
  <c r="P24" i="18" a="1"/>
  <c r="D2" i="15" a="1"/>
  <c r="N54" i="2" a="1"/>
  <c r="N27" i="2" a="1"/>
  <c r="N23" i="2" a="1"/>
  <c r="O19" i="18" a="1"/>
  <c r="P16" i="18" a="1"/>
  <c r="E21" i="18" a="1"/>
  <c r="L4" i="15" a="1"/>
  <c r="DC4" i="21" a="1"/>
  <c r="F9" i="3" a="1"/>
  <c r="P23" i="18" a="1"/>
  <c r="O40" i="2" a="1"/>
  <c r="E7" i="15" a="1"/>
  <c r="M43" i="2" a="1"/>
  <c r="N17" i="2" a="1"/>
  <c r="D6" i="15" a="1"/>
  <c r="L56" i="2" a="1"/>
  <c r="BE4" i="21" a="1"/>
  <c r="M28" i="2" a="1"/>
  <c r="DG4" i="21" a="1"/>
  <c r="K56" i="2" a="1"/>
  <c r="AM12" i="3" a="1"/>
  <c r="N18" i="2" a="1"/>
  <c r="K28" i="2" a="1"/>
  <c r="P39" i="2" a="1"/>
  <c r="M29" i="2" a="1"/>
  <c r="P29" i="2" a="1"/>
  <c r="BH4" i="21" a="1"/>
  <c r="L44" i="2" a="1"/>
  <c r="O16" i="2" a="1"/>
  <c r="F2" i="15" a="1"/>
  <c r="M39" i="2" a="1"/>
  <c r="N53" i="2" a="1"/>
  <c r="C6" i="15" a="1"/>
  <c r="AA25" i="18" a="1"/>
  <c r="N7" i="15" a="1"/>
  <c r="O24" i="2" a="1"/>
  <c r="P18" i="2" a="1"/>
  <c r="O44" i="2" a="1"/>
  <c r="K57" i="2" a="1"/>
  <c r="O22" i="2" a="1"/>
  <c r="P44" i="2" a="1"/>
  <c r="N24" i="2" a="1"/>
  <c r="N55" i="2" a="1"/>
  <c r="E24" i="18" a="1"/>
  <c r="O39" i="2" a="1"/>
  <c r="P55" i="2" a="1"/>
  <c r="N44" i="2" a="1"/>
  <c r="K4" i="2" a="1"/>
  <c r="J12" i="3" a="1"/>
  <c r="BG4" i="21" a="1"/>
  <c r="I3" i="15" a="1"/>
  <c r="P43" i="2" a="1"/>
  <c r="BF4" i="21" a="1"/>
  <c r="J4" i="15" a="1"/>
  <c r="M5" i="15" a="1"/>
  <c r="K11" i="2" a="1"/>
  <c r="M41" i="2" a="1"/>
  <c r="N3" i="15" a="1"/>
  <c r="O45" i="2" a="1"/>
  <c r="L28" i="2" a="1"/>
  <c r="P30" i="2" a="1"/>
  <c r="P28" i="2" a="1"/>
  <c r="H5" i="15" a="1"/>
  <c r="O55" i="2" a="1"/>
  <c r="L16" i="2" a="1"/>
  <c r="K44" i="2" a="1"/>
  <c r="D4" i="15" a="1"/>
  <c r="O20" i="2" a="1"/>
  <c r="M40" i="2" a="1"/>
  <c r="L26" i="2" a="1"/>
  <c r="O24" i="18" a="1"/>
  <c r="M8" i="2" a="1"/>
  <c r="M4" i="2" a="1"/>
  <c r="K54" i="2" a="1"/>
  <c r="O42" i="2" a="1"/>
  <c r="M3" i="15" a="1"/>
  <c r="CY4" i="21" a="1"/>
  <c r="H7" i="15" a="1"/>
  <c r="K2" i="15" a="1"/>
  <c r="K5" i="2" a="1"/>
  <c r="C2" i="15" a="1"/>
  <c r="L53" i="2" a="1"/>
  <c r="F4" i="15" a="1"/>
  <c r="P17" i="2" a="1"/>
  <c r="F3" i="15" a="1"/>
  <c r="P45" i="2" a="1"/>
  <c r="L19" i="2" a="1"/>
  <c r="K16" i="2" a="1"/>
  <c r="AM13" i="3" a="1"/>
  <c r="L22" i="2" a="1"/>
  <c r="DL4" i="21" a="1"/>
  <c r="G2" i="15" a="1"/>
  <c r="O41" i="2" a="1"/>
  <c r="K40" i="2" a="1"/>
  <c r="O29" i="2" a="1"/>
  <c r="O4" i="2" a="1"/>
  <c r="K48" i="2" a="1"/>
  <c r="N29" i="2" a="1"/>
  <c r="J6" i="15" a="1"/>
  <c r="CV4" i="21" a="1"/>
  <c r="L23" i="2" a="1"/>
  <c r="L7" i="15" a="1"/>
  <c r="O43" i="2" a="1"/>
  <c r="F5" i="3" a="1"/>
  <c r="O8" i="2" a="1"/>
  <c r="O52" i="2" a="1"/>
  <c r="M42" i="2" a="1"/>
  <c r="M4" i="15" a="1"/>
  <c r="F6" i="3" a="1"/>
  <c r="N39" i="2" a="1"/>
  <c r="K12" i="2" a="1"/>
  <c r="O5" i="2" a="1"/>
  <c r="K43" i="2" a="1"/>
  <c r="L40" i="2" a="1"/>
  <c r="M49" i="2" a="1"/>
  <c r="O13" i="2" a="1"/>
  <c r="M13" i="2" a="1"/>
  <c r="D3" i="15" a="1"/>
  <c r="O17" i="2" a="1"/>
  <c r="K26" i="2" a="1"/>
  <c r="E20" i="18" a="1"/>
  <c r="L29" i="2" a="1"/>
  <c r="P17" i="18" a="1"/>
  <c r="M30" i="2" a="1"/>
  <c r="P20" i="2" a="1"/>
  <c r="E8" i="15" a="1"/>
  <c r="O7" i="2" a="1"/>
  <c r="M7" i="15" a="1"/>
  <c r="M17" i="2" a="1"/>
  <c r="I6" i="15" a="1"/>
  <c r="O22" i="18" a="1"/>
  <c r="L6" i="2" a="1"/>
  <c r="O48" i="2" a="1"/>
  <c r="DH4" i="21" a="1"/>
  <c r="K19" i="2" a="1"/>
  <c r="CE4" i="21" a="1"/>
  <c r="BY4" i="21" a="1"/>
  <c r="L49" i="2" a="1"/>
  <c r="K17" i="2" a="1"/>
  <c r="E2" i="15" a="1"/>
  <c r="CC4" i="21" a="1"/>
  <c r="P21" i="18" a="1"/>
  <c r="I4" i="15" a="1"/>
  <c r="S3" i="3" a="1"/>
  <c r="CU4" i="21" a="1"/>
  <c r="CX4" i="21" a="1"/>
  <c r="DD4" i="21" a="1"/>
  <c r="BZ4" i="21" a="1"/>
  <c r="N41" i="2" a="1"/>
  <c r="BL4" i="21" a="1"/>
  <c r="P27" i="2" a="1"/>
  <c r="O27" i="2" a="1"/>
  <c r="F7" i="3" a="1"/>
  <c r="N2" i="15" a="1"/>
  <c r="M6" i="15" a="1"/>
  <c r="L13" i="2" a="1"/>
  <c r="L3" i="15" a="1"/>
  <c r="DA4" i="21" a="1"/>
  <c r="CA4" i="21" a="1"/>
  <c r="L5" i="2" a="1"/>
  <c r="P53" i="2" a="1"/>
  <c r="M23" i="2" a="1"/>
  <c r="F5" i="15" a="1"/>
  <c r="DJ4" i="21" a="1"/>
  <c r="P41" i="2" a="1"/>
  <c r="O28" i="2" a="1"/>
  <c r="O10" i="2" a="1"/>
  <c r="K45" i="2" a="1"/>
  <c r="P48" i="2" a="1"/>
  <c r="O23" i="2" a="1"/>
  <c r="P16" i="2" a="1"/>
  <c r="K10" i="2" a="1"/>
  <c r="E5" i="15" a="1"/>
  <c r="K7" i="2" a="1"/>
  <c r="P18" i="18" a="1"/>
  <c r="DM4" i="21" a="1"/>
  <c r="N19" i="2" a="1"/>
  <c r="M9" i="2" a="1"/>
  <c r="E22" i="18" a="1"/>
  <c r="O53" i="2" a="1"/>
  <c r="L6" i="15" a="1"/>
  <c r="M54" i="2" a="1"/>
  <c r="L4" i="2" a="1"/>
  <c r="E5" i="3" a="1"/>
  <c r="K12" i="3" a="1"/>
  <c r="O56" i="2" a="1"/>
  <c r="M7" i="2" a="1"/>
  <c r="D5" i="15" a="1"/>
  <c r="G3" i="15" a="1"/>
  <c r="E3" i="15" a="1"/>
  <c r="K22" i="2" a="1"/>
  <c r="H8" i="15" a="1"/>
  <c r="E23" i="18" a="1"/>
  <c r="BK4" i="21" a="1"/>
  <c r="M5" i="2" a="1"/>
  <c r="L48" i="2" a="1"/>
  <c r="C6" i="18" a="1"/>
  <c r="N52" i="2" a="1"/>
  <c r="J8" i="15" a="1"/>
  <c r="F6" i="15" a="1"/>
  <c r="J7" i="15" a="1"/>
  <c r="G7" i="15" a="1"/>
  <c r="L24" i="2" a="1"/>
  <c r="K4" i="15" a="1"/>
  <c r="N9" i="2" a="1"/>
  <c r="K6" i="2" a="1"/>
  <c r="P52" i="2" a="1"/>
  <c r="N20" i="2" a="1"/>
  <c r="H2" i="15" a="1"/>
  <c r="L42" i="2" a="1"/>
  <c r="G4" i="15" a="1"/>
  <c r="N28" i="2" a="1"/>
  <c r="E17" i="18" a="1"/>
  <c r="N16" i="2" a="1"/>
  <c r="K39" i="2" a="1"/>
  <c r="E19" i="18" a="1"/>
  <c r="M56" i="2" a="1"/>
  <c r="L30" i="2" a="1"/>
  <c r="M20" i="2" a="1"/>
  <c r="P6" i="2" a="1"/>
  <c r="P49" i="2" a="1"/>
  <c r="O23" i="18" a="1"/>
  <c r="L43" i="2" a="1"/>
  <c r="P3" i="5" a="1"/>
  <c r="O9" i="2" a="1"/>
  <c r="C3" i="15" a="1"/>
  <c r="P12" i="2" a="1"/>
  <c r="N42" i="2" a="1"/>
  <c r="L12" i="3" a="1"/>
  <c r="N56" i="2" a="1"/>
  <c r="P22" i="2" a="1"/>
  <c r="P11" i="2" a="1"/>
  <c r="M19" i="2" a="1"/>
  <c r="N10" i="2" a="1"/>
  <c r="N5" i="15" a="1"/>
  <c r="P8" i="2" a="1"/>
  <c r="K27" i="2" a="1"/>
  <c r="M16" i="2" a="1"/>
  <c r="L8" i="15" a="1"/>
  <c r="K8" i="2" a="1"/>
  <c r="N48" i="2" a="1"/>
  <c r="G5" i="15" a="1"/>
  <c r="O26" i="2" a="1"/>
  <c r="AM7" i="3" a="1"/>
  <c r="E9" i="3" a="1"/>
  <c r="P5" i="2" a="1"/>
  <c r="M18" i="2" a="1"/>
  <c r="P7" i="2" a="1"/>
  <c r="N49" i="2" a="1"/>
  <c r="E18" i="18" a="1"/>
  <c r="I2" i="15" a="1"/>
  <c r="P22" i="18" a="1"/>
  <c r="L39" i="2" a="1"/>
  <c r="E7" i="3" a="1"/>
  <c r="L52" i="2" a="1"/>
  <c r="L2" i="15" a="1"/>
  <c r="O20" i="18" a="1"/>
  <c r="L18" i="2" a="1"/>
  <c r="C7" i="15" a="1"/>
  <c r="C8" i="18" a="1"/>
  <c r="K30" i="2" a="1"/>
  <c r="M52" i="2" a="1"/>
  <c r="M27" i="2" a="1"/>
  <c r="K13" i="2" a="1"/>
  <c r="P20" i="18" a="1"/>
  <c r="BJ4" i="21" a="1"/>
  <c r="F4" i="3" a="1"/>
  <c r="CR4" i="21" a="1"/>
  <c r="K8" i="15" a="1"/>
  <c r="K42" i="2" a="1"/>
  <c r="H4" i="15" a="1"/>
  <c r="K7" i="3" a="1"/>
  <c r="N45" i="2" a="1"/>
  <c r="P10" i="2" a="1"/>
  <c r="CT4" i="21" a="1"/>
  <c r="E4" i="15" a="1"/>
  <c r="M2" i="15" a="1"/>
  <c r="M10" i="2" a="1"/>
  <c r="E6" i="15" a="1"/>
  <c r="K20" i="2" a="1"/>
  <c r="O21" i="18" a="1"/>
  <c r="C8" i="15" a="1"/>
  <c r="K23" i="2" a="1"/>
  <c r="D8" i="15" a="1"/>
  <c r="J2" i="15" a="1"/>
  <c r="N43" i="2" a="1"/>
  <c r="L8" i="2" a="1"/>
  <c r="L7" i="3" a="1"/>
  <c r="E4" i="3" a="1"/>
  <c r="N8" i="2" a="1"/>
  <c r="K9" i="2" a="1"/>
  <c r="P40" i="2" a="1"/>
  <c r="O17" i="18" a="1"/>
  <c r="C5" i="18" a="1"/>
  <c r="J7" i="3" a="1"/>
  <c r="J5" i="15" a="1"/>
  <c r="G8" i="15" a="1"/>
  <c r="M24" i="2" a="1"/>
  <c r="M55" i="2" a="1"/>
  <c r="K53" i="2" a="1"/>
  <c r="K5" i="15" a="1"/>
  <c r="F8" i="3" a="1"/>
  <c r="N30" i="2" a="1"/>
  <c r="M45" i="2" a="1"/>
  <c r="N12" i="2" a="1"/>
  <c r="F7" i="15" a="1"/>
  <c r="K7" i="15" a="1"/>
  <c r="AM6" i="3" a="1"/>
  <c r="M44" i="2" a="1"/>
  <c r="I8" i="15" a="1"/>
  <c r="K52" i="2" a="1"/>
  <c r="N6" i="15" a="1"/>
  <c r="L45" i="2" a="1"/>
  <c r="N8" i="15" a="1"/>
  <c r="BX4" i="21" a="1"/>
  <c r="P4" i="2" a="1"/>
  <c r="CD4" i="21" a="1"/>
  <c r="DI4" i="21" a="1"/>
  <c r="M48" i="2" a="1"/>
  <c r="P25" i="2" a="1"/>
  <c r="DF4" i="21" a="1"/>
  <c r="K18" i="2" a="1"/>
  <c r="I5" i="15" a="1"/>
  <c r="K29" i="2" a="1"/>
  <c r="L54" i="2" a="1"/>
  <c r="L41" i="2" a="1"/>
  <c r="F8" i="15" a="1"/>
  <c r="M53" i="2" a="1"/>
  <c r="N22" i="2" a="1"/>
  <c r="DB4" i="21" a="1"/>
  <c r="K6" i="15" a="1"/>
  <c r="N26" i="2" a="1"/>
  <c r="O19" i="2" a="1"/>
  <c r="J3" i="15" a="1"/>
  <c r="L7" i="2" a="1"/>
  <c r="P13" i="2" a="1"/>
  <c r="I7" i="15" a="1"/>
  <c r="P57" i="2" a="1"/>
  <c r="O30" i="2" a="1"/>
  <c r="L5" i="15" a="1"/>
  <c r="N4" i="2" a="1"/>
  <c r="O18" i="18" a="1"/>
  <c r="P9" i="2" a="1"/>
  <c r="DK4" i="21" a="1"/>
  <c r="G6" i="15" a="1"/>
  <c r="CS4" i="21" a="1"/>
  <c r="K25" i="2" a="1"/>
  <c r="M26" i="2" a="1"/>
  <c r="AM11" i="3" a="1"/>
  <c r="AM11" i="3" l="1"/>
  <c r="AM3" i="3"/>
  <c r="AM7" i="3"/>
  <c r="AM13" i="3"/>
  <c r="AM12" i="3"/>
  <c r="AM5" i="3"/>
  <c r="AM10" i="3"/>
  <c r="AM6" i="3"/>
  <c r="AM4" i="3"/>
  <c r="AM9" i="3"/>
  <c r="N39" i="2"/>
  <c r="J8" i="15"/>
  <c r="G5" i="15"/>
  <c r="BH4" i="21"/>
  <c r="BR4" i="21" s="1"/>
  <c r="F6" i="3"/>
  <c r="G3" i="15"/>
  <c r="M40" i="2"/>
  <c r="O29" i="2"/>
  <c r="H2" i="15"/>
  <c r="P42" i="2"/>
  <c r="N41" i="2"/>
  <c r="C8" i="15"/>
  <c r="K41" i="2"/>
  <c r="F2" i="15"/>
  <c r="P20" i="2"/>
  <c r="L5" i="15"/>
  <c r="O18" i="2"/>
  <c r="N54" i="2"/>
  <c r="E22" i="18"/>
  <c r="N40" i="2"/>
  <c r="P56" i="2"/>
  <c r="K5" i="15"/>
  <c r="O21" i="18"/>
  <c r="K7" i="3"/>
  <c r="M16" i="2"/>
  <c r="F5" i="3"/>
  <c r="O13" i="2"/>
  <c r="M26" i="2"/>
  <c r="J12" i="3"/>
  <c r="L54" i="2"/>
  <c r="L7" i="15"/>
  <c r="D8" i="15"/>
  <c r="K11" i="2"/>
  <c r="K57" i="2"/>
  <c r="K6" i="2"/>
  <c r="L20" i="2"/>
  <c r="N43" i="2"/>
  <c r="L8" i="15"/>
  <c r="N13" i="2"/>
  <c r="K13" i="2"/>
  <c r="N48" i="2"/>
  <c r="K40" i="2"/>
  <c r="N44" i="2"/>
  <c r="K53" i="2"/>
  <c r="K2" i="15"/>
  <c r="P43" i="2"/>
  <c r="L13" i="2"/>
  <c r="J7" i="3"/>
  <c r="O23" i="2"/>
  <c r="O43" i="2"/>
  <c r="L22" i="2"/>
  <c r="K5" i="2"/>
  <c r="DK4" i="21"/>
  <c r="K39" i="2"/>
  <c r="K6" i="15"/>
  <c r="L6" i="15"/>
  <c r="O49" i="2"/>
  <c r="N12" i="2"/>
  <c r="M9" i="2"/>
  <c r="P24" i="2"/>
  <c r="N28" i="2"/>
  <c r="J7" i="15"/>
  <c r="O26" i="2"/>
  <c r="K30" i="2"/>
  <c r="F3" i="1"/>
  <c r="K8" i="15"/>
  <c r="V12" i="3" a="1"/>
  <c r="V12" i="3" s="1"/>
  <c r="E19" i="18"/>
  <c r="M29" i="2"/>
  <c r="O20" i="2"/>
  <c r="O24" i="2"/>
  <c r="N45" i="2"/>
  <c r="J2" i="15"/>
  <c r="L4" i="2"/>
  <c r="L3" i="15"/>
  <c r="CU4" i="21"/>
  <c r="P54" i="2"/>
  <c r="P6" i="2"/>
  <c r="K44" i="2"/>
  <c r="H3" i="15"/>
  <c r="L43" i="2"/>
  <c r="J3" i="15"/>
  <c r="L19" i="2"/>
  <c r="M53" i="2"/>
  <c r="O52" i="2"/>
  <c r="N4" i="2"/>
  <c r="N18" i="2"/>
  <c r="C5" i="18"/>
  <c r="CZ4" i="21"/>
  <c r="P52" i="2"/>
  <c r="C28" i="3"/>
  <c r="L4" i="15"/>
  <c r="X10" i="3" a="1"/>
  <c r="X10" i="3" s="1"/>
  <c r="P18" i="18"/>
  <c r="K17" i="2"/>
  <c r="O5" i="2"/>
  <c r="F4" i="3"/>
  <c r="K56" i="2"/>
  <c r="L18" i="2"/>
  <c r="L10" i="2"/>
  <c r="L45" i="2"/>
  <c r="P26" i="2"/>
  <c r="L40" i="2"/>
  <c r="O9" i="2"/>
  <c r="P23" i="2"/>
  <c r="P22" i="18"/>
  <c r="DD4" i="21"/>
  <c r="S3" i="3"/>
  <c r="H7" i="15"/>
  <c r="K45" i="2"/>
  <c r="L56" i="2"/>
  <c r="BL4" i="21"/>
  <c r="BV4" i="21" s="1"/>
  <c r="L30" i="2"/>
  <c r="O44" i="2"/>
  <c r="E8" i="15"/>
  <c r="K28" i="2"/>
  <c r="O4" i="2"/>
  <c r="X11" i="3" a="1"/>
  <c r="X11" i="3" s="1"/>
  <c r="O6" i="2"/>
  <c r="M24" i="2"/>
  <c r="P13" i="2"/>
  <c r="K7" i="2"/>
  <c r="I8" i="15"/>
  <c r="O17" i="18"/>
  <c r="I3" i="15"/>
  <c r="O22" i="2"/>
  <c r="F8" i="3"/>
  <c r="D7" i="15"/>
  <c r="N24" i="2"/>
  <c r="M22" i="2"/>
  <c r="O40" i="2"/>
  <c r="J4" i="15"/>
  <c r="M12" i="2"/>
  <c r="M6" i="2"/>
  <c r="K3" i="15"/>
  <c r="P21" i="18"/>
  <c r="L41" i="2"/>
  <c r="I4" i="15"/>
  <c r="O12" i="2"/>
  <c r="CX4" i="21"/>
  <c r="X6" i="3" a="1"/>
  <c r="X6" i="3" s="1"/>
  <c r="L12" i="3"/>
  <c r="N8" i="2"/>
  <c r="G6" i="15"/>
  <c r="K16" i="2"/>
  <c r="L5" i="2"/>
  <c r="BF4" i="21"/>
  <c r="BP4" i="21" s="1"/>
  <c r="C7" i="15"/>
  <c r="L52" i="2"/>
  <c r="X4" i="3" a="1"/>
  <c r="X4" i="3" s="1"/>
  <c r="F4" i="15"/>
  <c r="E17" i="18"/>
  <c r="L12" i="2"/>
  <c r="BK4" i="21"/>
  <c r="BU4" i="21" s="1"/>
  <c r="K7" i="15"/>
  <c r="L2" i="15"/>
  <c r="DE4" i="21"/>
  <c r="O7" i="2"/>
  <c r="CV4" i="21"/>
  <c r="H8" i="15"/>
  <c r="O19" i="18"/>
  <c r="CR4" i="21"/>
  <c r="M20" i="2"/>
  <c r="P19" i="2"/>
  <c r="H6" i="15"/>
  <c r="K26" i="2"/>
  <c r="N4" i="15"/>
  <c r="M8" i="15"/>
  <c r="L7" i="3"/>
  <c r="E20" i="18"/>
  <c r="D3" i="15"/>
  <c r="DB4" i="21"/>
  <c r="K4" i="2"/>
  <c r="P3" i="5"/>
  <c r="O16" i="2"/>
  <c r="K8" i="2"/>
  <c r="E24" i="18"/>
  <c r="K54" i="2"/>
  <c r="DA4" i="21"/>
  <c r="CG4" i="21"/>
  <c r="M13" i="2"/>
  <c r="CS4" i="21"/>
  <c r="P18" i="2"/>
  <c r="L53" i="2"/>
  <c r="P17" i="2"/>
  <c r="P5" i="2"/>
  <c r="N20" i="2"/>
  <c r="O20" i="18"/>
  <c r="M49" i="2"/>
  <c r="K49" i="2"/>
  <c r="P57" i="2"/>
  <c r="N22" i="2"/>
  <c r="L42" i="2"/>
  <c r="BY4" i="21"/>
  <c r="L44" i="2"/>
  <c r="P48" i="2"/>
  <c r="L26" i="2"/>
  <c r="N7" i="15"/>
  <c r="CC4" i="21"/>
  <c r="L8" i="2"/>
  <c r="M43" i="2"/>
  <c r="P49" i="2"/>
  <c r="C6" i="18"/>
  <c r="P16" i="2"/>
  <c r="M30" i="2"/>
  <c r="P55" i="2"/>
  <c r="O53" i="2"/>
  <c r="K27" i="2"/>
  <c r="L7" i="2"/>
  <c r="O42" i="2"/>
  <c r="DG4" i="21"/>
  <c r="BZ4" i="21"/>
  <c r="P44" i="2"/>
  <c r="K48" i="2"/>
  <c r="CA4" i="21"/>
  <c r="U12" i="3" a="1"/>
  <c r="U12" i="3" s="1"/>
  <c r="L17" i="2"/>
  <c r="P7" i="2"/>
  <c r="C6" i="15"/>
  <c r="M10" i="2"/>
  <c r="CW4" i="21"/>
  <c r="E4" i="15"/>
  <c r="K12" i="3"/>
  <c r="BJ4" i="21"/>
  <c r="BT4" i="21" s="1"/>
  <c r="BE4" i="21"/>
  <c r="BO4" i="21" s="1"/>
  <c r="M41" i="2"/>
  <c r="O55" i="2"/>
  <c r="M27" i="2"/>
  <c r="L39" i="2"/>
  <c r="DC4" i="21"/>
  <c r="CB4" i="21"/>
  <c r="F7" i="15"/>
  <c r="N53" i="2"/>
  <c r="X12" i="3" a="1"/>
  <c r="X12" i="3" s="1"/>
  <c r="N2" i="15"/>
  <c r="N6" i="15"/>
  <c r="E6" i="3"/>
  <c r="J5" i="15"/>
  <c r="O17" i="2"/>
  <c r="N17" i="2"/>
  <c r="O22" i="18"/>
  <c r="G7" i="15"/>
  <c r="N5" i="15"/>
  <c r="DL4" i="21"/>
  <c r="E3" i="15"/>
  <c r="K20" i="2"/>
  <c r="M23" i="2"/>
  <c r="L48" i="2"/>
  <c r="E21" i="18"/>
  <c r="M7" i="15"/>
  <c r="N9" i="2"/>
  <c r="N7" i="2"/>
  <c r="O27" i="2"/>
  <c r="N29" i="2"/>
  <c r="M42" i="2"/>
  <c r="P29" i="2"/>
  <c r="P27" i="2"/>
  <c r="O24" i="18"/>
  <c r="E7" i="3"/>
  <c r="BG4" i="21"/>
  <c r="BQ4" i="21" s="1"/>
  <c r="K22" i="2"/>
  <c r="E9" i="3"/>
  <c r="K55" i="2"/>
  <c r="CE4" i="21"/>
  <c r="K23" i="2"/>
  <c r="I7" i="15"/>
  <c r="P8" i="2"/>
  <c r="E5" i="15"/>
  <c r="M5" i="15"/>
  <c r="G4" i="15"/>
  <c r="F9" i="3"/>
  <c r="N30" i="2"/>
  <c r="K9" i="2"/>
  <c r="L29" i="2"/>
  <c r="N5" i="2"/>
  <c r="N3" i="15"/>
  <c r="P45" i="2"/>
  <c r="H5" i="15"/>
  <c r="F7" i="3"/>
  <c r="D5" i="15"/>
  <c r="N27" i="2"/>
  <c r="M4" i="15"/>
  <c r="D2" i="15"/>
  <c r="N10" i="2"/>
  <c r="K19" i="2"/>
  <c r="P28" i="2"/>
  <c r="E6" i="15"/>
  <c r="F6" i="15"/>
  <c r="P19" i="18"/>
  <c r="D4" i="15"/>
  <c r="P9" i="2"/>
  <c r="L27" i="2"/>
  <c r="M7" i="2"/>
  <c r="O18" i="18"/>
  <c r="K4" i="15"/>
  <c r="I6" i="15"/>
  <c r="N6" i="2"/>
  <c r="M2" i="15"/>
  <c r="DM4" i="21"/>
  <c r="DL30" i="21" s="1"/>
  <c r="P17" i="18"/>
  <c r="K52" i="2"/>
  <c r="E4" i="3"/>
  <c r="BI4" i="21"/>
  <c r="BS4" i="21" s="1"/>
  <c r="E8" i="3"/>
  <c r="E18" i="18"/>
  <c r="P20" i="18"/>
  <c r="CT4" i="21"/>
  <c r="F8" i="15"/>
  <c r="K43" i="2"/>
  <c r="CD4" i="21"/>
  <c r="K29" i="2"/>
  <c r="P11" i="2"/>
  <c r="O41" i="2"/>
  <c r="L28" i="2"/>
  <c r="M44" i="2"/>
  <c r="P24" i="18"/>
  <c r="E5" i="3"/>
  <c r="M39" i="2"/>
  <c r="P30" i="2"/>
  <c r="O10" i="2"/>
  <c r="N23" i="2"/>
  <c r="P40" i="2"/>
  <c r="C2" i="15"/>
  <c r="D6" i="15"/>
  <c r="H4" i="15"/>
  <c r="M18" i="2"/>
  <c r="P22" i="2"/>
  <c r="E7" i="15"/>
  <c r="P25" i="2"/>
  <c r="N49" i="2"/>
  <c r="P39" i="2"/>
  <c r="M48" i="2"/>
  <c r="M4" i="2"/>
  <c r="M5" i="2"/>
  <c r="K12" i="2"/>
  <c r="O28" i="2"/>
  <c r="O23" i="18"/>
  <c r="CY4" i="21"/>
  <c r="O39" i="2"/>
  <c r="L16" i="2"/>
  <c r="M8" i="2"/>
  <c r="O30" i="2"/>
  <c r="BD4" i="21"/>
  <c r="BN4" i="21" s="1"/>
  <c r="K24" i="2"/>
  <c r="O54" i="2"/>
  <c r="DI4" i="21"/>
  <c r="K25" i="2"/>
  <c r="F5" i="15"/>
  <c r="DH4" i="21"/>
  <c r="P4" i="2"/>
  <c r="O56" i="2"/>
  <c r="M55" i="2"/>
  <c r="F3" i="15"/>
  <c r="N55" i="2"/>
  <c r="N19" i="2"/>
  <c r="K10" i="2"/>
  <c r="O8" i="2"/>
  <c r="I2" i="15"/>
  <c r="L55" i="2"/>
  <c r="E23" i="18"/>
  <c r="P12" i="2"/>
  <c r="M56" i="2"/>
  <c r="J6" i="15"/>
  <c r="BM4" i="21"/>
  <c r="K42" i="2"/>
  <c r="AA25" i="18"/>
  <c r="O5" i="18" s="1"/>
  <c r="N52" i="2"/>
  <c r="P10" i="2"/>
  <c r="N56" i="2"/>
  <c r="G2" i="15"/>
  <c r="N16" i="2"/>
  <c r="I5" i="15"/>
  <c r="DJ4" i="21"/>
  <c r="C8" i="18"/>
  <c r="L49" i="2"/>
  <c r="K18" i="2"/>
  <c r="M17" i="2"/>
  <c r="L23" i="2"/>
  <c r="N26" i="2"/>
  <c r="P16" i="18"/>
  <c r="DF4" i="21"/>
  <c r="M3" i="15"/>
  <c r="Z16" i="18"/>
  <c r="M45" i="2"/>
  <c r="M28" i="2"/>
  <c r="M54" i="2"/>
  <c r="G8" i="15"/>
  <c r="L6" i="2"/>
  <c r="O48" i="2"/>
  <c r="M52" i="2"/>
  <c r="L9" i="2"/>
  <c r="N42" i="2"/>
  <c r="M6" i="15"/>
  <c r="N8" i="15"/>
  <c r="P53" i="2"/>
  <c r="O45" i="2"/>
  <c r="L24" i="2"/>
  <c r="BX4" i="21"/>
  <c r="M19" i="2"/>
  <c r="X7" i="3" a="1"/>
  <c r="X7" i="3" s="1"/>
  <c r="E2" i="15"/>
  <c r="CF4" i="21"/>
  <c r="C3" i="15"/>
  <c r="P41" i="2"/>
  <c r="P23" i="18"/>
  <c r="O19" i="2"/>
  <c r="T1" i="20"/>
  <c r="S1" i="13"/>
  <c r="S2" i="13" s="1" a="1"/>
  <c r="S2" i="13" s="1"/>
  <c r="S53" i="13" s="1"/>
  <c r="R28" i="20"/>
  <c r="AN2" i="3" a="1"/>
  <c r="AN2" i="3" s="1"/>
  <c r="AO1" i="3"/>
  <c r="AN13" i="3" a="1"/>
  <c r="Y14" i="3" a="1"/>
  <c r="X5" i="3" a="1"/>
  <c r="U7" i="3" a="1"/>
  <c r="W9" i="3" a="1"/>
  <c r="Y8" i="3" a="1"/>
  <c r="W10" i="3" a="1"/>
  <c r="AN14" i="3" a="1"/>
  <c r="AN7" i="3" a="1"/>
  <c r="W5" i="3" a="1"/>
  <c r="Y11" i="3" a="1"/>
  <c r="V8" i="3" a="1"/>
  <c r="X9" i="3" a="1"/>
  <c r="W6" i="3" a="1"/>
  <c r="Y13" i="3" a="1"/>
  <c r="P3" i="1" a="1"/>
  <c r="AN6" i="3" a="1"/>
  <c r="W4" i="3" a="1"/>
  <c r="H12" i="3" a="1"/>
  <c r="X8" i="3" a="1"/>
  <c r="H9" i="3" a="1"/>
  <c r="X13" i="3" a="1"/>
  <c r="L25" i="2" a="1"/>
  <c r="G10" i="3" a="1"/>
  <c r="M57" i="2" a="1"/>
  <c r="H4" i="3" a="1"/>
  <c r="H3" i="1" a="1"/>
  <c r="H6" i="3" a="1"/>
  <c r="O57" i="2" a="1"/>
  <c r="N57" i="2" a="1"/>
  <c r="N25" i="2" a="1"/>
  <c r="W8" i="3" a="1"/>
  <c r="D3" i="1" a="1"/>
  <c r="M3" i="1" a="1"/>
  <c r="N3" i="1" a="1"/>
  <c r="O11" i="2" a="1"/>
  <c r="U11" i="3" a="1"/>
  <c r="N11" i="2" a="1"/>
  <c r="H10" i="3" a="1"/>
  <c r="O3" i="1" a="1"/>
  <c r="G11" i="3" a="1"/>
  <c r="H13" i="3" a="1"/>
  <c r="Q3" i="1" a="1"/>
  <c r="G12" i="3" a="1"/>
  <c r="L57" i="2" a="1"/>
  <c r="G8" i="3" a="1"/>
  <c r="V11" i="3" a="1"/>
  <c r="M25" i="2" a="1"/>
  <c r="G7" i="3" a="1"/>
  <c r="H5" i="3" a="1"/>
  <c r="G6" i="3" a="1"/>
  <c r="G5" i="3" a="1"/>
  <c r="O25" i="2" a="1"/>
  <c r="H11" i="3" a="1"/>
  <c r="C5" i="15" a="1"/>
  <c r="M11" i="2" a="1"/>
  <c r="L11" i="2" a="1"/>
  <c r="H7" i="3" a="1"/>
  <c r="AN11" i="3" a="1"/>
  <c r="H8" i="3" a="1"/>
  <c r="G9" i="3" a="1"/>
  <c r="G4" i="3" a="1"/>
  <c r="R3" i="1" a="1"/>
  <c r="S3" i="1" a="1"/>
  <c r="W13" i="3" a="1"/>
  <c r="G13" i="3" a="1"/>
  <c r="AN11" i="3" l="1"/>
  <c r="AN6" i="3"/>
  <c r="X13" i="3"/>
  <c r="W13" i="3"/>
  <c r="U11" i="3"/>
  <c r="X8" i="3"/>
  <c r="Y8" i="3"/>
  <c r="Y14" i="3"/>
  <c r="Y11" i="3"/>
  <c r="Y13" i="3"/>
  <c r="AN7" i="3"/>
  <c r="AN13" i="3"/>
  <c r="AN14" i="3"/>
  <c r="W4" i="3"/>
  <c r="U7" i="3"/>
  <c r="W10" i="3"/>
  <c r="X9" i="3"/>
  <c r="W9" i="3"/>
  <c r="W8" i="3"/>
  <c r="W6" i="3"/>
  <c r="V11" i="3"/>
  <c r="W5" i="3"/>
  <c r="X5" i="3"/>
  <c r="V8" i="3"/>
  <c r="I24" i="2"/>
  <c r="I17" i="2"/>
  <c r="I10" i="2"/>
  <c r="I43" i="2"/>
  <c r="I16" i="2"/>
  <c r="I12" i="2"/>
  <c r="I22" i="2"/>
  <c r="I13" i="2"/>
  <c r="I41" i="2"/>
  <c r="I30" i="2"/>
  <c r="C3" i="1"/>
  <c r="I39" i="2"/>
  <c r="I29" i="2"/>
  <c r="I40" i="2"/>
  <c r="I56" i="2"/>
  <c r="AX27" i="20"/>
  <c r="I4" i="2"/>
  <c r="I28" i="2"/>
  <c r="I26" i="2"/>
  <c r="I7" i="2"/>
  <c r="AH27" i="20"/>
  <c r="I5" i="2"/>
  <c r="I42" i="2"/>
  <c r="I6" i="2"/>
  <c r="I19" i="2"/>
  <c r="P3" i="15"/>
  <c r="I18" i="2"/>
  <c r="AJ27" i="20"/>
  <c r="I27" i="2"/>
  <c r="I8" i="2"/>
  <c r="G27" i="20"/>
  <c r="L57" i="2"/>
  <c r="O25" i="2"/>
  <c r="H8" i="3"/>
  <c r="G9" i="3"/>
  <c r="H3" i="1"/>
  <c r="G6" i="3"/>
  <c r="N57" i="2"/>
  <c r="G8" i="3"/>
  <c r="L11" i="2"/>
  <c r="O11" i="2"/>
  <c r="H7" i="3"/>
  <c r="G4" i="3"/>
  <c r="G10" i="3"/>
  <c r="D3" i="1"/>
  <c r="C5" i="15"/>
  <c r="P5" i="15" s="1"/>
  <c r="M11" i="2"/>
  <c r="H13" i="3"/>
  <c r="H10" i="3"/>
  <c r="N25" i="2"/>
  <c r="G5" i="3"/>
  <c r="H6" i="3"/>
  <c r="L25" i="2"/>
  <c r="H12" i="3"/>
  <c r="G12" i="3"/>
  <c r="M57" i="2"/>
  <c r="H5" i="3"/>
  <c r="N11" i="2"/>
  <c r="H9" i="3"/>
  <c r="R3" i="1"/>
  <c r="W3" i="3" s="1" a="1"/>
  <c r="W3" i="3" s="1"/>
  <c r="P3" i="1"/>
  <c r="Q3" i="1"/>
  <c r="S3" i="1"/>
  <c r="X3" i="3" s="1" a="1"/>
  <c r="X3" i="3" s="1"/>
  <c r="M25" i="2"/>
  <c r="G13" i="3"/>
  <c r="H4" i="3"/>
  <c r="G11" i="3"/>
  <c r="G7" i="3"/>
  <c r="O57" i="2"/>
  <c r="H11" i="3"/>
  <c r="N3" i="1"/>
  <c r="M3" i="1"/>
  <c r="O3" i="1"/>
  <c r="DL29" i="21"/>
  <c r="I9" i="2"/>
  <c r="I23" i="2"/>
  <c r="DK29" i="21"/>
  <c r="B3" i="1"/>
  <c r="AA16" i="18" a="1"/>
  <c r="AA16" i="18" s="1"/>
  <c r="B16" i="18" s="1"/>
  <c r="Z17" i="18"/>
  <c r="BW4" i="21"/>
  <c r="I20" i="2"/>
  <c r="F29" i="1"/>
  <c r="F28" i="1"/>
  <c r="T2" i="20"/>
  <c r="U1" i="20"/>
  <c r="T1" i="13"/>
  <c r="T2" i="13" s="1" a="1"/>
  <c r="T2" i="13" s="1"/>
  <c r="T53" i="13" s="1"/>
  <c r="S28" i="20"/>
  <c r="AO2" i="3" a="1"/>
  <c r="AO2" i="3" s="1"/>
  <c r="AP1" i="3"/>
  <c r="AO7" i="3" a="1"/>
  <c r="AO14" i="3" a="1"/>
  <c r="AO9" i="3" a="1"/>
  <c r="AO12" i="3" a="1"/>
  <c r="AO5" i="3" a="1"/>
  <c r="AO8" i="3" a="1"/>
  <c r="AO11" i="3" a="1"/>
  <c r="I4" i="3" a="1"/>
  <c r="AO3" i="3" a="1"/>
  <c r="I6" i="3" a="1"/>
  <c r="E3" i="3" a="1"/>
  <c r="I13" i="3" a="1"/>
  <c r="I11" i="3" a="1"/>
  <c r="AO13" i="3" a="1"/>
  <c r="I5" i="3" a="1"/>
  <c r="I8" i="3" a="1"/>
  <c r="G3" i="3" a="1"/>
  <c r="AO6" i="3" a="1"/>
  <c r="AO10" i="3" a="1"/>
  <c r="C4" i="15" a="1"/>
  <c r="I9" i="3" a="1"/>
  <c r="I12" i="3" a="1"/>
  <c r="I10" i="3" a="1"/>
  <c r="I7" i="3" a="1"/>
  <c r="F3" i="3" a="1"/>
  <c r="E3" i="1" a="1"/>
  <c r="AO11" i="3" l="1"/>
  <c r="AO6" i="3"/>
  <c r="AO8" i="3"/>
  <c r="AO10" i="3"/>
  <c r="E3" i="3"/>
  <c r="AO7" i="3"/>
  <c r="AO12" i="3"/>
  <c r="AO13" i="3"/>
  <c r="AO9" i="3"/>
  <c r="AO3" i="3"/>
  <c r="AO5" i="3"/>
  <c r="AO14" i="3"/>
  <c r="G3" i="3"/>
  <c r="F3" i="3"/>
  <c r="H29" i="1"/>
  <c r="D28" i="1"/>
  <c r="C29" i="1"/>
  <c r="C28" i="1"/>
  <c r="D29" i="1"/>
  <c r="I5" i="3"/>
  <c r="I12" i="3"/>
  <c r="I13" i="3"/>
  <c r="I11" i="3"/>
  <c r="I7" i="3"/>
  <c r="I25" i="2"/>
  <c r="I9" i="3"/>
  <c r="I4" i="3"/>
  <c r="I6" i="3"/>
  <c r="I57" i="2"/>
  <c r="I11" i="2"/>
  <c r="I10" i="3"/>
  <c r="I8" i="3"/>
  <c r="C4" i="15"/>
  <c r="P4" i="15" s="1"/>
  <c r="E3" i="1"/>
  <c r="B28" i="1"/>
  <c r="B29" i="1"/>
  <c r="H28" i="1"/>
  <c r="Z18" i="18"/>
  <c r="AA17" i="18" a="1"/>
  <c r="AA17" i="18" s="1"/>
  <c r="B17" i="18" s="1"/>
  <c r="U1" i="13"/>
  <c r="U2" i="13" s="1" a="1"/>
  <c r="U2" i="13" s="1"/>
  <c r="U53" i="13" s="1"/>
  <c r="U2" i="20"/>
  <c r="V1" i="20"/>
  <c r="T28" i="20"/>
  <c r="AP2" i="3" a="1"/>
  <c r="AP2" i="3" s="1"/>
  <c r="AQ1" i="3"/>
  <c r="AP13" i="3" a="1"/>
  <c r="AP7" i="3" a="1"/>
  <c r="AP14" i="3" a="1"/>
  <c r="AP6" i="3" a="1"/>
  <c r="AP10" i="3" a="1"/>
  <c r="AP11" i="3" a="1"/>
  <c r="H3" i="3" a="1"/>
  <c r="AP3" i="3" a="1"/>
  <c r="AP6" i="3" l="1"/>
  <c r="AP10" i="3"/>
  <c r="AP11" i="3"/>
  <c r="AP13" i="3"/>
  <c r="AP3" i="3"/>
  <c r="AP14" i="3"/>
  <c r="AP7" i="3"/>
  <c r="H3" i="3"/>
  <c r="E29" i="1"/>
  <c r="G3" i="1"/>
  <c r="E28" i="1"/>
  <c r="Z19" i="18"/>
  <c r="AA18" i="18" a="1"/>
  <c r="AA18" i="18" s="1"/>
  <c r="B18" i="18" s="1"/>
  <c r="V1" i="13"/>
  <c r="V2" i="13" s="1" a="1"/>
  <c r="V2" i="13" s="1"/>
  <c r="V53" i="13" s="1"/>
  <c r="W1" i="20"/>
  <c r="V2" i="20"/>
  <c r="U28" i="20"/>
  <c r="AQ2" i="3" a="1"/>
  <c r="AQ2" i="3" s="1"/>
  <c r="AR1" i="3"/>
  <c r="AQ4" i="3" a="1"/>
  <c r="AQ14" i="3" a="1"/>
  <c r="AQ13" i="3" a="1"/>
  <c r="AQ11" i="3" a="1"/>
  <c r="AQ3" i="3" a="1"/>
  <c r="AQ6" i="3" a="1"/>
  <c r="AQ7" i="3" a="1"/>
  <c r="AQ8" i="3" a="1"/>
  <c r="AQ10" i="3" a="1"/>
  <c r="I3" i="3" a="1"/>
  <c r="AQ12" i="3" a="1"/>
  <c r="AQ8" i="3" l="1"/>
  <c r="AQ11" i="3"/>
  <c r="AQ10" i="3"/>
  <c r="AQ6" i="3"/>
  <c r="AQ7" i="3"/>
  <c r="AQ14" i="3"/>
  <c r="AQ3" i="3"/>
  <c r="AQ12" i="3"/>
  <c r="AQ13" i="3"/>
  <c r="AQ4" i="3"/>
  <c r="I3" i="3"/>
  <c r="G29" i="1"/>
  <c r="G28" i="1"/>
  <c r="AA19" i="18" a="1"/>
  <c r="AA19" i="18" s="1"/>
  <c r="B19" i="18" s="1"/>
  <c r="Z20" i="18"/>
  <c r="W1" i="13"/>
  <c r="W2" i="13" s="1" a="1"/>
  <c r="W2" i="13" s="1"/>
  <c r="W53" i="13" s="1"/>
  <c r="X1" i="20"/>
  <c r="W2" i="20"/>
  <c r="V28" i="20"/>
  <c r="AR2" i="3" a="1"/>
  <c r="AR2" i="3" s="1"/>
  <c r="AS1" i="3"/>
  <c r="AR3" i="3" a="1"/>
  <c r="AR7" i="3" a="1"/>
  <c r="AR10" i="3" a="1"/>
  <c r="AR10" i="3" l="1"/>
  <c r="AR3" i="3"/>
  <c r="AR7" i="3"/>
  <c r="Z21" i="18"/>
  <c r="AA20" i="18" a="1"/>
  <c r="AA20" i="18" s="1"/>
  <c r="B20" i="18" s="1"/>
  <c r="X1" i="13"/>
  <c r="X2" i="13" s="1" a="1"/>
  <c r="X2" i="13" s="1"/>
  <c r="X53" i="13" s="1"/>
  <c r="Y1" i="20"/>
  <c r="X2" i="20"/>
  <c r="W28" i="20"/>
  <c r="AS2" i="3" a="1"/>
  <c r="AS2" i="3" s="1"/>
  <c r="AT1" i="3"/>
  <c r="AS11" i="3" a="1"/>
  <c r="AS9" i="3" a="1"/>
  <c r="AS4" i="3" a="1"/>
  <c r="AS8" i="3" a="1"/>
  <c r="AS6" i="3" a="1"/>
  <c r="AS12" i="3" a="1"/>
  <c r="AS7" i="3" a="1"/>
  <c r="AS13" i="3" a="1"/>
  <c r="AS7" i="3" l="1"/>
  <c r="AS13" i="3"/>
  <c r="AS12" i="3"/>
  <c r="AS6" i="3"/>
  <c r="AS4" i="3"/>
  <c r="AS11" i="3"/>
  <c r="AS9" i="3"/>
  <c r="AS8" i="3"/>
  <c r="AA21" i="18" a="1"/>
  <c r="AA21" i="18" s="1"/>
  <c r="B21" i="18" s="1"/>
  <c r="Z22" i="18"/>
  <c r="Y1" i="13"/>
  <c r="Y2" i="13" s="1" a="1"/>
  <c r="Y2" i="13" s="1"/>
  <c r="Y53" i="13" s="1"/>
  <c r="Z1" i="20"/>
  <c r="Y2" i="20"/>
  <c r="X28" i="20"/>
  <c r="AT2" i="3" a="1"/>
  <c r="AT2" i="3" s="1"/>
  <c r="AU1" i="3"/>
  <c r="AT8" i="3" a="1"/>
  <c r="AT10" i="3" a="1"/>
  <c r="AT6" i="3" a="1"/>
  <c r="AT4" i="3" a="1"/>
  <c r="AT5" i="3" a="1"/>
  <c r="AT9" i="3" a="1"/>
  <c r="AT13" i="3" a="1"/>
  <c r="AT12" i="3" a="1"/>
  <c r="AT11" i="3" a="1"/>
  <c r="AT7" i="3" a="1"/>
  <c r="AT11" i="3" l="1"/>
  <c r="AT5" i="3"/>
  <c r="AT7" i="3"/>
  <c r="AT13" i="3"/>
  <c r="AT9" i="3"/>
  <c r="AT6" i="3"/>
  <c r="AT10" i="3"/>
  <c r="AT8" i="3"/>
  <c r="AT4" i="3"/>
  <c r="AT12" i="3"/>
  <c r="Z23" i="18"/>
  <c r="AA22" i="18" a="1"/>
  <c r="AA22" i="18" s="1"/>
  <c r="B22" i="18" s="1"/>
  <c r="Z1" i="13"/>
  <c r="Z2" i="13" s="1" a="1"/>
  <c r="Z2" i="13" s="1"/>
  <c r="Z53" i="13" s="1"/>
  <c r="Z2" i="20"/>
  <c r="AA1" i="20"/>
  <c r="Y28" i="20"/>
  <c r="AU2" i="3" a="1"/>
  <c r="AU2" i="3" s="1"/>
  <c r="AV1" i="3"/>
  <c r="AU11" i="3" a="1"/>
  <c r="AU11" i="3" l="1"/>
  <c r="AA23" i="18" a="1"/>
  <c r="AA23" i="18" s="1"/>
  <c r="B23" i="18" s="1"/>
  <c r="Z24" i="18"/>
  <c r="AA1" i="13"/>
  <c r="AA2" i="13" s="1" a="1"/>
  <c r="AA2" i="13" s="1"/>
  <c r="AA53" i="13" s="1"/>
  <c r="AA2" i="20"/>
  <c r="AB1" i="20"/>
  <c r="Z28" i="20"/>
  <c r="AV2" i="3" a="1"/>
  <c r="AV2" i="3" s="1"/>
  <c r="AW1" i="3"/>
  <c r="AV10" i="3" a="1"/>
  <c r="AV5" i="3" a="1"/>
  <c r="AV4" i="3" a="1"/>
  <c r="AV13" i="3" a="1"/>
  <c r="AV7" i="3" a="1"/>
  <c r="AV12" i="3" a="1"/>
  <c r="AV8" i="3" a="1"/>
  <c r="AV8" i="3" l="1"/>
  <c r="AV7" i="3"/>
  <c r="AV4" i="3"/>
  <c r="AV12" i="3"/>
  <c r="AV13" i="3"/>
  <c r="AV5" i="3"/>
  <c r="AV10" i="3"/>
  <c r="AA24" i="18" a="1"/>
  <c r="AA24" i="18" s="1"/>
  <c r="B24" i="18" s="1"/>
  <c r="AB1" i="13"/>
  <c r="AB2" i="13" s="1" a="1"/>
  <c r="AB2" i="13" s="1"/>
  <c r="AB53" i="13" s="1"/>
  <c r="AB2" i="20"/>
  <c r="AC1" i="20"/>
  <c r="AA28" i="20"/>
  <c r="AW2" i="3" a="1"/>
  <c r="AW2" i="3" s="1"/>
  <c r="AX1" i="3"/>
  <c r="AW6" i="3" a="1"/>
  <c r="AW10" i="3" a="1"/>
  <c r="AW12" i="3" a="1"/>
  <c r="AW10" i="3" l="1"/>
  <c r="AW6" i="3"/>
  <c r="AW12" i="3"/>
  <c r="AC1" i="13"/>
  <c r="AC2" i="13" s="1" a="1"/>
  <c r="AC2" i="13" s="1"/>
  <c r="AC53" i="13" s="1"/>
  <c r="AD1" i="20"/>
  <c r="AC2" i="20"/>
  <c r="AB28" i="20"/>
  <c r="AX2" i="3" a="1"/>
  <c r="AX2" i="3" s="1"/>
  <c r="AY1" i="3"/>
  <c r="AX5" i="3" a="1"/>
  <c r="AX6" i="3" a="1"/>
  <c r="AX10" i="3" a="1"/>
  <c r="AX13" i="3" a="1"/>
  <c r="AX12" i="3" a="1"/>
  <c r="AX13" i="3" l="1"/>
  <c r="AX6" i="3"/>
  <c r="AX12" i="3"/>
  <c r="AX5" i="3"/>
  <c r="AX10" i="3"/>
  <c r="AD1" i="13"/>
  <c r="AD2" i="13" s="1" a="1"/>
  <c r="AD2" i="13" s="1"/>
  <c r="AD53" i="13" s="1"/>
  <c r="AD2" i="20"/>
  <c r="AE1" i="20"/>
  <c r="AC28" i="20"/>
  <c r="AY2" i="3" a="1"/>
  <c r="AY2" i="3" s="1"/>
  <c r="AZ1" i="3"/>
  <c r="AY13" i="3" a="1"/>
  <c r="AY10" i="3" a="1"/>
  <c r="AY4" i="3" a="1"/>
  <c r="AY3" i="3" a="1"/>
  <c r="AY6" i="3" a="1"/>
  <c r="AY12" i="3" a="1"/>
  <c r="AY12" i="3" l="1"/>
  <c r="AY6" i="3"/>
  <c r="AY13" i="3"/>
  <c r="AY3" i="3"/>
  <c r="AY10" i="3"/>
  <c r="AY4" i="3"/>
  <c r="AE1" i="13"/>
  <c r="AE2" i="13" s="1" a="1"/>
  <c r="AE2" i="13" s="1"/>
  <c r="AE53" i="13" s="1"/>
  <c r="AE2" i="20"/>
  <c r="AF1" i="20"/>
  <c r="AD28" i="20"/>
  <c r="AZ2" i="3" a="1"/>
  <c r="AZ2" i="3" s="1"/>
  <c r="BA1" i="3"/>
  <c r="AZ4" i="3" a="1"/>
  <c r="AZ9" i="3" a="1"/>
  <c r="AZ6" i="3" a="1"/>
  <c r="AZ8" i="3" a="1"/>
  <c r="AZ10" i="3" a="1"/>
  <c r="AZ12" i="3" a="1"/>
  <c r="AZ7" i="3" a="1"/>
  <c r="AZ13" i="3" a="1"/>
  <c r="AZ7" i="3" l="1"/>
  <c r="AZ13" i="3"/>
  <c r="AZ9" i="3"/>
  <c r="AZ8" i="3"/>
  <c r="AZ10" i="3"/>
  <c r="AZ6" i="3"/>
  <c r="AZ12" i="3"/>
  <c r="AZ4" i="3"/>
  <c r="AF1" i="13"/>
  <c r="AF2" i="13" s="1" a="1"/>
  <c r="AF2" i="13" s="1"/>
  <c r="AF53" i="13" s="1"/>
  <c r="AG1" i="20"/>
  <c r="AF2" i="20"/>
  <c r="AE28" i="20"/>
  <c r="BA2" i="3" a="1"/>
  <c r="BA2" i="3" s="1"/>
  <c r="BB1" i="3"/>
  <c r="BA14" i="3" a="1"/>
  <c r="BA7" i="3" a="1"/>
  <c r="BA10" i="3" a="1"/>
  <c r="BA3" i="3" a="1"/>
  <c r="BA10" i="3" l="1"/>
  <c r="BA3" i="3"/>
  <c r="BA14" i="3"/>
  <c r="BA7" i="3"/>
  <c r="AG1" i="13"/>
  <c r="AG2" i="13" s="1" a="1"/>
  <c r="AG2" i="13" s="1"/>
  <c r="AG53" i="13" s="1"/>
  <c r="AH1" i="20"/>
  <c r="AG2" i="20"/>
  <c r="AF28" i="20"/>
  <c r="BB2" i="3" a="1"/>
  <c r="BB2" i="3" s="1"/>
  <c r="BC1" i="3"/>
  <c r="BB13" i="3" a="1"/>
  <c r="BB3" i="3" a="1"/>
  <c r="BB7" i="3" a="1"/>
  <c r="BB11" i="3" a="1"/>
  <c r="BB14" i="3" a="1"/>
  <c r="BB9" i="3" a="1"/>
  <c r="BB9" i="3" l="1"/>
  <c r="BB7" i="3"/>
  <c r="BB11" i="3"/>
  <c r="BB13" i="3"/>
  <c r="BB14" i="3"/>
  <c r="BB3" i="3"/>
  <c r="AH1" i="13"/>
  <c r="AH2" i="13" s="1" a="1"/>
  <c r="AH2" i="13" s="1"/>
  <c r="AH53" i="13" s="1"/>
  <c r="AH2" i="20"/>
  <c r="AI1" i="20"/>
  <c r="AG28" i="20"/>
  <c r="BC2" i="3" a="1"/>
  <c r="BC2" i="3" s="1"/>
  <c r="BD1" i="3"/>
  <c r="AI1" i="13" l="1"/>
  <c r="AI2" i="13" s="1" a="1"/>
  <c r="AI2" i="13" s="1"/>
  <c r="AI53" i="13" s="1"/>
  <c r="AJ1" i="20"/>
  <c r="AI2" i="20"/>
  <c r="AH28" i="20"/>
  <c r="B8" i="15"/>
  <c r="B7" i="15"/>
  <c r="BD2" i="3" a="1"/>
  <c r="BD2" i="3" s="1"/>
  <c r="BE1" i="3"/>
  <c r="BD13" i="3" a="1"/>
  <c r="BD3" i="3" a="1"/>
  <c r="BD11" i="3" a="1"/>
  <c r="BD14" i="3" a="1"/>
  <c r="BD5" i="3" a="1"/>
  <c r="BD6" i="3" a="1"/>
  <c r="BD10" i="3" a="1"/>
  <c r="BD10" i="3" l="1"/>
  <c r="BD6" i="3"/>
  <c r="BD5" i="3"/>
  <c r="BD13" i="3"/>
  <c r="BD11" i="3"/>
  <c r="BD3" i="3"/>
  <c r="BD14" i="3"/>
  <c r="AJ1" i="13"/>
  <c r="AJ2" i="13" s="1" a="1"/>
  <c r="AJ2" i="13" s="1"/>
  <c r="AJ53" i="13" s="1"/>
  <c r="AJ2" i="20"/>
  <c r="AK1" i="20"/>
  <c r="AI28" i="20"/>
  <c r="BE2" i="3" a="1"/>
  <c r="BE2" i="3" s="1"/>
  <c r="BF1" i="3"/>
  <c r="BE12" i="3" a="1"/>
  <c r="BE13" i="3" a="1"/>
  <c r="BE7" i="3" a="1"/>
  <c r="BE14" i="3" a="1"/>
  <c r="BE14" i="3" l="1"/>
  <c r="BE13" i="3"/>
  <c r="BE7" i="3"/>
  <c r="BE12" i="3"/>
  <c r="AK1" i="13"/>
  <c r="AK2" i="13" s="1" a="1"/>
  <c r="AK2" i="13" s="1"/>
  <c r="AK53" i="13" s="1"/>
  <c r="AL1" i="20"/>
  <c r="AK2" i="20"/>
  <c r="AJ28" i="20"/>
  <c r="BF2" i="3" a="1"/>
  <c r="BF2" i="3" s="1"/>
  <c r="BG1" i="3"/>
  <c r="BF12" i="3" a="1"/>
  <c r="BF9" i="3" a="1"/>
  <c r="BF5" i="3" a="1"/>
  <c r="BF7" i="3" a="1"/>
  <c r="BF10" i="3" a="1"/>
  <c r="BF13" i="3" a="1"/>
  <c r="BF8" i="3" a="1"/>
  <c r="BF6" i="3" a="1"/>
  <c r="BF14" i="3" a="1"/>
  <c r="BF3" i="3" a="1"/>
  <c r="BF11" i="3" a="1"/>
  <c r="BF10" i="3" l="1"/>
  <c r="BF6" i="3"/>
  <c r="BF8" i="3"/>
  <c r="BF11" i="3"/>
  <c r="BF13" i="3"/>
  <c r="BF5" i="3"/>
  <c r="BF3" i="3"/>
  <c r="BF7" i="3"/>
  <c r="BF14" i="3"/>
  <c r="BF12" i="3"/>
  <c r="BF9" i="3"/>
  <c r="AL1" i="13"/>
  <c r="AL2" i="13" s="1" a="1"/>
  <c r="AL2" i="13" s="1"/>
  <c r="AL53" i="13" s="1"/>
  <c r="AM1" i="20"/>
  <c r="AL2" i="20"/>
  <c r="AK28" i="20"/>
  <c r="BG2" i="3" a="1"/>
  <c r="BG2" i="3" s="1"/>
  <c r="BH1" i="3"/>
  <c r="BG4" i="3" a="1"/>
  <c r="BG12" i="3" a="1"/>
  <c r="BG6" i="3" a="1"/>
  <c r="BG11" i="3" a="1"/>
  <c r="BG7" i="3" a="1"/>
  <c r="BG7" i="3" l="1"/>
  <c r="BG4" i="3"/>
  <c r="BG12" i="3"/>
  <c r="BG11" i="3"/>
  <c r="BG6" i="3"/>
  <c r="AM1" i="13"/>
  <c r="AM2" i="13" s="1" a="1"/>
  <c r="AM2" i="13" s="1"/>
  <c r="AM53" i="13" s="1"/>
  <c r="AN1" i="20"/>
  <c r="AM2" i="20"/>
  <c r="AL28" i="20"/>
  <c r="BH2" i="3" a="1"/>
  <c r="BH2" i="3" s="1"/>
  <c r="BI1" i="3"/>
  <c r="BH14" i="3" a="1"/>
  <c r="BH5" i="3" a="1"/>
  <c r="BH7" i="3" a="1"/>
  <c r="BH9" i="3" a="1"/>
  <c r="BH12" i="3" a="1"/>
  <c r="BH6" i="3" a="1"/>
  <c r="BH10" i="3" a="1"/>
  <c r="BH8" i="3" a="1"/>
  <c r="BH13" i="3" a="1"/>
  <c r="BH11" i="3" a="1"/>
  <c r="BH3" i="3" a="1"/>
  <c r="BH10" i="3" l="1"/>
  <c r="BH8" i="3"/>
  <c r="BH6" i="3"/>
  <c r="BH11" i="3"/>
  <c r="BH9" i="3"/>
  <c r="BH14" i="3"/>
  <c r="BH5" i="3"/>
  <c r="BH13" i="3"/>
  <c r="BH12" i="3"/>
  <c r="BH7" i="3"/>
  <c r="BH3" i="3"/>
  <c r="AN1" i="13"/>
  <c r="AN2" i="13" s="1" a="1"/>
  <c r="AN2" i="13" s="1"/>
  <c r="AN53" i="13" s="1"/>
  <c r="AN2" i="20"/>
  <c r="AO1" i="20"/>
  <c r="AM28" i="20"/>
  <c r="BI2" i="3" a="1"/>
  <c r="BI2" i="3" s="1"/>
  <c r="BJ1" i="3"/>
  <c r="BI10" i="3" a="1"/>
  <c r="BI3" i="3" a="1"/>
  <c r="BI12" i="3" a="1"/>
  <c r="BI14" i="3" a="1"/>
  <c r="BI11" i="3" a="1"/>
  <c r="BI13" i="3" a="1"/>
  <c r="D21" i="15" a="1"/>
  <c r="G12" i="15" a="1"/>
  <c r="I14" i="15" a="1"/>
  <c r="H37" i="15" a="1"/>
  <c r="F29" i="15" a="1"/>
  <c r="M41" i="15" a="1"/>
  <c r="F13" i="15" a="1"/>
  <c r="K29" i="15" a="1"/>
  <c r="K33" i="15" a="1"/>
  <c r="J15" i="15" a="1"/>
  <c r="H33" i="15" a="1"/>
  <c r="D20" i="15" a="1"/>
  <c r="K40" i="15" a="1"/>
  <c r="L40" i="15" a="1"/>
  <c r="C16" i="15" a="1"/>
  <c r="J16" i="15" a="1"/>
  <c r="M15" i="15" a="1"/>
  <c r="N22" i="15" a="1"/>
  <c r="K35" i="15" a="1"/>
  <c r="L27" i="15" a="1"/>
  <c r="K11" i="15" a="1"/>
  <c r="H18" i="15" a="1"/>
  <c r="M16" i="15" a="1"/>
  <c r="N9" i="15" a="1"/>
  <c r="L37" i="15" a="1"/>
  <c r="E39" i="15" a="1"/>
  <c r="C13" i="15" a="1"/>
  <c r="H12" i="15" a="1"/>
  <c r="G22" i="15" a="1"/>
  <c r="K15" i="15" a="1"/>
  <c r="C11" i="15" a="1"/>
  <c r="BI4" i="3" a="1"/>
  <c r="J41" i="15" a="1"/>
  <c r="I15" i="15" a="1"/>
  <c r="E26" i="15" a="1"/>
  <c r="L29" i="15" a="1"/>
  <c r="M9" i="15" a="1"/>
  <c r="N10" i="15" a="1"/>
  <c r="N16" i="15" a="1"/>
  <c r="K22" i="15" a="1"/>
  <c r="F40" i="15" a="1"/>
  <c r="I19" i="15" a="1"/>
  <c r="D31" i="15" a="1"/>
  <c r="L13" i="15" a="1"/>
  <c r="D33" i="15" a="1"/>
  <c r="G26" i="15" a="1"/>
  <c r="M38" i="15" a="1"/>
  <c r="E32" i="15" a="1"/>
  <c r="G39" i="15" a="1"/>
  <c r="M17" i="15" a="1"/>
  <c r="I31" i="15" a="1"/>
  <c r="J38" i="15" a="1"/>
  <c r="K18" i="15" a="1"/>
  <c r="D13" i="15" a="1"/>
  <c r="F20" i="15" a="1"/>
  <c r="F21" i="15" a="1"/>
  <c r="H32" i="15" a="1"/>
  <c r="D19" i="15" a="1"/>
  <c r="E27" i="15" a="1"/>
  <c r="K19" i="15" a="1"/>
  <c r="L33" i="15" a="1"/>
  <c r="D39" i="15" a="1"/>
  <c r="F22" i="15" a="1"/>
  <c r="L19" i="15" a="1"/>
  <c r="M19" i="15" a="1"/>
  <c r="N27" i="15" a="1"/>
  <c r="C14" i="15" a="1"/>
  <c r="L26" i="15" a="1"/>
  <c r="F34" i="15" a="1"/>
  <c r="I33" i="15" a="1"/>
  <c r="K16" i="15" a="1"/>
  <c r="M27" i="15" a="1"/>
  <c r="F26" i="15" a="1"/>
  <c r="G14" i="15" a="1"/>
  <c r="J21" i="15" a="1"/>
  <c r="M32" i="15" a="1"/>
  <c r="M18" i="15" a="1"/>
  <c r="M39" i="15" a="1"/>
  <c r="C15" i="15" a="1"/>
  <c r="E12" i="15" a="1"/>
  <c r="N39" i="15" a="1"/>
  <c r="K12" i="15" a="1"/>
  <c r="H15" i="15" a="1"/>
  <c r="E37" i="15" a="1"/>
  <c r="K32" i="15" a="1"/>
  <c r="N26" i="15" a="1"/>
  <c r="F30" i="15" a="1"/>
  <c r="D32" i="15" a="1"/>
  <c r="I11" i="15" a="1"/>
  <c r="D37" i="15" a="1"/>
  <c r="K41" i="15" a="1"/>
  <c r="L18" i="15" a="1"/>
  <c r="N11" i="15" a="1"/>
  <c r="C27" i="15" a="1"/>
  <c r="C31" i="15" a="1"/>
  <c r="E14" i="15" a="1"/>
  <c r="D26" i="15" a="1"/>
  <c r="G41" i="15" a="1"/>
  <c r="G31" i="15" a="1"/>
  <c r="E40" i="15" a="1"/>
  <c r="I37" i="15" a="1"/>
  <c r="M34" i="15" a="1"/>
  <c r="G18" i="15" a="1"/>
  <c r="E28" i="15" a="1"/>
  <c r="D27" i="15" a="1"/>
  <c r="I18" i="15" a="1"/>
  <c r="L32" i="15" a="1"/>
  <c r="I26" i="15" a="1"/>
  <c r="D9" i="15" a="1"/>
  <c r="D16" i="15" a="1"/>
  <c r="J32" i="15" a="1"/>
  <c r="N20" i="15" a="1"/>
  <c r="L14" i="15" a="1"/>
  <c r="K17" i="15" a="1"/>
  <c r="K37" i="15" a="1"/>
  <c r="G33" i="15" a="1"/>
  <c r="E15" i="15" a="1"/>
  <c r="N15" i="15" a="1"/>
  <c r="F33" i="15" a="1"/>
  <c r="H20" i="15" a="1"/>
  <c r="C30" i="15" a="1"/>
  <c r="J17" i="15" a="1"/>
  <c r="C26" i="15" a="1"/>
  <c r="E29" i="15" a="1"/>
  <c r="G20" i="15" a="1"/>
  <c r="J12" i="15" a="1"/>
  <c r="N34" i="15" a="1"/>
  <c r="F38" i="15" a="1"/>
  <c r="N35" i="15" a="1"/>
  <c r="J13" i="15" a="1"/>
  <c r="H35" i="15" a="1"/>
  <c r="D35" i="15" a="1"/>
  <c r="G30" i="15" a="1"/>
  <c r="E17" i="15" a="1"/>
  <c r="I27" i="15" a="1"/>
  <c r="C29" i="15" a="1"/>
  <c r="M40" i="15" a="1"/>
  <c r="N33" i="15" a="1"/>
  <c r="J30" i="15" a="1"/>
  <c r="I34" i="15" a="1"/>
  <c r="F41" i="15" a="1"/>
  <c r="I40" i="15" a="1"/>
  <c r="J34" i="15" a="1"/>
  <c r="H38" i="15" a="1"/>
  <c r="C21" i="15" a="1"/>
  <c r="I13" i="15" a="1"/>
  <c r="F11" i="15" a="1"/>
  <c r="I28" i="15" a="1"/>
  <c r="C28" i="15" a="1"/>
  <c r="H17" i="15" a="1"/>
  <c r="G15" i="15" a="1"/>
  <c r="H27" i="15" a="1"/>
  <c r="D40" i="15" a="1"/>
  <c r="L21" i="15" a="1"/>
  <c r="L39" i="15" a="1"/>
  <c r="K31" i="15" a="1"/>
  <c r="M29" i="15" a="1"/>
  <c r="G10" i="15" a="1"/>
  <c r="M21" i="15" a="1"/>
  <c r="C10" i="15" a="1"/>
  <c r="F27" i="15" a="1"/>
  <c r="L17" i="15" a="1"/>
  <c r="N19" i="15" a="1"/>
  <c r="D38" i="15" a="1"/>
  <c r="E21" i="15" a="1"/>
  <c r="C9" i="15" a="1"/>
  <c r="M31" i="15" a="1"/>
  <c r="J18" i="15" a="1"/>
  <c r="E33" i="15" a="1"/>
  <c r="I39" i="15" a="1"/>
  <c r="BI6" i="3" a="1"/>
  <c r="M33" i="15" a="1"/>
  <c r="C38" i="15" a="1"/>
  <c r="M20" i="15" a="1"/>
  <c r="N32" i="15" a="1"/>
  <c r="K39" i="15" a="1"/>
  <c r="J39" i="15" a="1"/>
  <c r="N41" i="15" a="1"/>
  <c r="I12" i="15" a="1"/>
  <c r="J27" i="15" a="1"/>
  <c r="M14" i="15" a="1"/>
  <c r="N31" i="15" a="1"/>
  <c r="H34" i="15" a="1"/>
  <c r="F16" i="15" a="1"/>
  <c r="G28" i="15" a="1"/>
  <c r="H16" i="15" a="1"/>
  <c r="N18" i="15" a="1"/>
  <c r="C35" i="15" a="1"/>
  <c r="M22" i="15" a="1"/>
  <c r="D22" i="15" a="1"/>
  <c r="I20" i="15" a="1"/>
  <c r="D14" i="15" a="1"/>
  <c r="L15" i="15" a="1"/>
  <c r="F28" i="15" a="1"/>
  <c r="G34" i="15" a="1"/>
  <c r="J14" i="15" a="1"/>
  <c r="K27" i="15" a="1"/>
  <c r="H40" i="15" a="1"/>
  <c r="D10" i="15" a="1"/>
  <c r="J29" i="15" a="1"/>
  <c r="N17" i="15" a="1"/>
  <c r="L28" i="15" a="1"/>
  <c r="H31" i="15" a="1"/>
  <c r="C33" i="15" a="1"/>
  <c r="E20" i="15" a="1"/>
  <c r="H13" i="15" a="1"/>
  <c r="I41" i="15" a="1"/>
  <c r="F39" i="15" a="1"/>
  <c r="M26" i="15" a="1"/>
  <c r="E9" i="15" a="1"/>
  <c r="D28" i="15" a="1"/>
  <c r="C20" i="15" a="1"/>
  <c r="E30" i="15" a="1"/>
  <c r="N37" i="15" a="1"/>
  <c r="G11" i="15" a="1"/>
  <c r="N14" i="15" a="1"/>
  <c r="M10" i="15" a="1"/>
  <c r="J22" i="15" a="1"/>
  <c r="H29" i="15" a="1"/>
  <c r="C12" i="15" a="1"/>
  <c r="G32" i="15" a="1"/>
  <c r="K9" i="15" a="1"/>
  <c r="C17" i="15" a="1"/>
  <c r="F17" i="15" a="1"/>
  <c r="K13" i="15" a="1"/>
  <c r="M35" i="15" a="1"/>
  <c r="F31" i="15" a="1"/>
  <c r="C22" i="15" a="1"/>
  <c r="J40" i="15" a="1"/>
  <c r="K38" i="15" a="1"/>
  <c r="K30" i="15" a="1"/>
  <c r="N21" i="15" a="1"/>
  <c r="L9" i="15" a="1"/>
  <c r="M13" i="15" a="1"/>
  <c r="G37" i="15" a="1"/>
  <c r="F19" i="15" a="1"/>
  <c r="K10" i="15" a="1"/>
  <c r="L12" i="15" a="1"/>
  <c r="J37" i="15" a="1"/>
  <c r="E18" i="15" a="1"/>
  <c r="G13" i="15" a="1"/>
  <c r="H39" i="15" a="1"/>
  <c r="E34" i="15" a="1"/>
  <c r="L38" i="15" a="1"/>
  <c r="C32" i="15" a="1"/>
  <c r="N28" i="15" a="1"/>
  <c r="H10" i="15" a="1"/>
  <c r="E19" i="15" a="1"/>
  <c r="D34" i="15" a="1"/>
  <c r="J19" i="15" a="1"/>
  <c r="I32" i="15" a="1"/>
  <c r="L35" i="15" a="1"/>
  <c r="J9" i="15" a="1"/>
  <c r="N38" i="15" a="1"/>
  <c r="I21" i="15" a="1"/>
  <c r="C18" i="15" a="1"/>
  <c r="L34" i="15" a="1"/>
  <c r="G19" i="15" a="1"/>
  <c r="L41" i="15" a="1"/>
  <c r="D12" i="15" a="1"/>
  <c r="F9" i="15" a="1"/>
  <c r="H26" i="15" a="1"/>
  <c r="G27" i="15" a="1"/>
  <c r="E31" i="15" a="1"/>
  <c r="J31" i="15" a="1"/>
  <c r="L22" i="15" a="1"/>
  <c r="F37" i="15" a="1"/>
  <c r="BI5" i="3" a="1"/>
  <c r="L10" i="15" a="1"/>
  <c r="C41" i="15" a="1"/>
  <c r="H9" i="15" a="1"/>
  <c r="D15" i="15" a="1"/>
  <c r="D41" i="15" a="1"/>
  <c r="F15" i="15" a="1"/>
  <c r="G9" i="15" a="1"/>
  <c r="G38" i="15" a="1"/>
  <c r="L16" i="15" a="1"/>
  <c r="I16" i="15" a="1"/>
  <c r="D17" i="15" a="1"/>
  <c r="I35" i="15" a="1"/>
  <c r="H22" i="15" a="1"/>
  <c r="L30" i="15" a="1"/>
  <c r="J11" i="15" a="1"/>
  <c r="E13" i="15" a="1"/>
  <c r="K20" i="15" a="1"/>
  <c r="G29" i="15" a="1"/>
  <c r="H14" i="15" a="1"/>
  <c r="K14" i="15" a="1"/>
  <c r="J35" i="15" a="1"/>
  <c r="H11" i="15" a="1"/>
  <c r="G17" i="15" a="1"/>
  <c r="H41" i="15" a="1"/>
  <c r="E35" i="15" a="1"/>
  <c r="G40" i="15" a="1"/>
  <c r="I9" i="15" a="1"/>
  <c r="E16" i="15" a="1"/>
  <c r="H21" i="15" a="1"/>
  <c r="N30" i="15" a="1"/>
  <c r="J26" i="15" a="1"/>
  <c r="M28" i="15" a="1"/>
  <c r="E22" i="15" a="1"/>
  <c r="N13" i="15" a="1"/>
  <c r="M12" i="15" a="1"/>
  <c r="F18" i="15" a="1"/>
  <c r="F10" i="15" a="1"/>
  <c r="E10" i="15" a="1"/>
  <c r="J10" i="15" a="1"/>
  <c r="K26" i="15" a="1"/>
  <c r="C19" i="15" a="1"/>
  <c r="D30" i="15" a="1"/>
  <c r="F14" i="15" a="1"/>
  <c r="N12" i="15" a="1"/>
  <c r="J28" i="15" a="1"/>
  <c r="L20" i="15" a="1"/>
  <c r="G21" i="15" a="1"/>
  <c r="K34" i="15" a="1"/>
  <c r="H19" i="15" a="1"/>
  <c r="J20" i="15" a="1"/>
  <c r="C40" i="15" a="1"/>
  <c r="C39" i="15" a="1"/>
  <c r="M30" i="15" a="1"/>
  <c r="N40" i="15" a="1"/>
  <c r="N29" i="15" a="1"/>
  <c r="J33" i="15" a="1"/>
  <c r="G35" i="15" a="1"/>
  <c r="D18" i="15" a="1"/>
  <c r="E11" i="15" a="1"/>
  <c r="K28" i="15" a="1"/>
  <c r="G16" i="15" a="1"/>
  <c r="M11" i="15" a="1"/>
  <c r="I30" i="15" a="1"/>
  <c r="I22" i="15" a="1"/>
  <c r="F12" i="15" a="1"/>
  <c r="M37" i="15" a="1"/>
  <c r="I29" i="15" a="1"/>
  <c r="F35" i="15" a="1"/>
  <c r="H28" i="15" a="1"/>
  <c r="E38" i="15" a="1"/>
  <c r="I10" i="15" a="1"/>
  <c r="L11" i="15" a="1"/>
  <c r="K21" i="15" a="1"/>
  <c r="D29" i="15" a="1"/>
  <c r="L31" i="15" a="1"/>
  <c r="E41" i="15" a="1"/>
  <c r="C37" i="15" a="1"/>
  <c r="D11" i="15" a="1"/>
  <c r="F32" i="15" a="1"/>
  <c r="H30" i="15" a="1"/>
  <c r="C34" i="15" a="1"/>
  <c r="I38" i="15" a="1"/>
  <c r="I17" i="15" a="1"/>
  <c r="BI3" i="3" l="1"/>
  <c r="BI5" i="3"/>
  <c r="BI10" i="3"/>
  <c r="BI4" i="3"/>
  <c r="BI11" i="3"/>
  <c r="BI6" i="3"/>
  <c r="BI14" i="3"/>
  <c r="BI12" i="3"/>
  <c r="BI13" i="3"/>
  <c r="AO1" i="13"/>
  <c r="AO2" i="13" s="1" a="1"/>
  <c r="AO2" i="13" s="1"/>
  <c r="AO53" i="13" s="1"/>
  <c r="AO2" i="20"/>
  <c r="AP1" i="20"/>
  <c r="AN28" i="20"/>
  <c r="M12" i="15"/>
  <c r="I33" i="15"/>
  <c r="E13" i="15"/>
  <c r="D40" i="15"/>
  <c r="C35" i="15"/>
  <c r="F19" i="15"/>
  <c r="H26" i="15"/>
  <c r="M10" i="15"/>
  <c r="H21" i="15"/>
  <c r="L26" i="15"/>
  <c r="I30" i="15"/>
  <c r="J26" i="15"/>
  <c r="K13" i="15"/>
  <c r="D31" i="15"/>
  <c r="K29" i="15"/>
  <c r="M15" i="15"/>
  <c r="F31" i="15"/>
  <c r="C28" i="15"/>
  <c r="L21" i="15"/>
  <c r="K18" i="15"/>
  <c r="H16" i="15"/>
  <c r="G17" i="15"/>
  <c r="I14" i="15"/>
  <c r="I38" i="15"/>
  <c r="J29" i="15"/>
  <c r="L14" i="15"/>
  <c r="E15" i="15"/>
  <c r="C22" i="15"/>
  <c r="G22" i="15"/>
  <c r="F33" i="15"/>
  <c r="M38" i="15"/>
  <c r="N31" i="15"/>
  <c r="E37" i="15"/>
  <c r="I16" i="15"/>
  <c r="I28" i="15"/>
  <c r="F16" i="15"/>
  <c r="E40" i="15"/>
  <c r="F10" i="15"/>
  <c r="I19" i="15"/>
  <c r="H14" i="15"/>
  <c r="E19" i="15"/>
  <c r="I37" i="15"/>
  <c r="E14" i="15"/>
  <c r="E17" i="15"/>
  <c r="J38" i="15"/>
  <c r="I18" i="15"/>
  <c r="G19" i="15"/>
  <c r="N37" i="15"/>
  <c r="F35" i="15"/>
  <c r="G18" i="15"/>
  <c r="L29" i="15"/>
  <c r="I40" i="15"/>
  <c r="J32" i="15"/>
  <c r="F30" i="15"/>
  <c r="J37" i="15"/>
  <c r="I15" i="15"/>
  <c r="I29" i="15"/>
  <c r="H20" i="15"/>
  <c r="C39" i="15"/>
  <c r="L32" i="15"/>
  <c r="I31" i="15"/>
  <c r="L33" i="15"/>
  <c r="F13" i="15"/>
  <c r="M19" i="15"/>
  <c r="G34" i="15"/>
  <c r="N29" i="15"/>
  <c r="L37" i="15"/>
  <c r="N28" i="15"/>
  <c r="N27" i="15"/>
  <c r="J28" i="15"/>
  <c r="H13" i="15"/>
  <c r="F15" i="15"/>
  <c r="H12" i="15"/>
  <c r="J39" i="15"/>
  <c r="C32" i="15"/>
  <c r="N34" i="15"/>
  <c r="N30" i="15"/>
  <c r="D19" i="15"/>
  <c r="K14" i="15"/>
  <c r="E31" i="15"/>
  <c r="M29" i="15"/>
  <c r="J14" i="15"/>
  <c r="C17" i="15"/>
  <c r="K37" i="15"/>
  <c r="K11" i="15"/>
  <c r="C15" i="15"/>
  <c r="J18" i="15"/>
  <c r="J9" i="15"/>
  <c r="K9" i="15"/>
  <c r="D38" i="15"/>
  <c r="J33" i="15"/>
  <c r="K16" i="15"/>
  <c r="I11" i="15"/>
  <c r="I32" i="15"/>
  <c r="I41" i="15"/>
  <c r="M21" i="15"/>
  <c r="H41" i="15"/>
  <c r="I22" i="15"/>
  <c r="J22" i="15"/>
  <c r="K35" i="15"/>
  <c r="H35" i="15"/>
  <c r="C31" i="15"/>
  <c r="D37" i="15"/>
  <c r="L35" i="15"/>
  <c r="D34" i="15"/>
  <c r="E34" i="15"/>
  <c r="I26" i="15"/>
  <c r="N10" i="15"/>
  <c r="F37" i="15"/>
  <c r="K21" i="15"/>
  <c r="N38" i="15"/>
  <c r="F40" i="15"/>
  <c r="H22" i="15"/>
  <c r="E12" i="15"/>
  <c r="M33" i="15"/>
  <c r="K34" i="15"/>
  <c r="I20" i="15"/>
  <c r="D9" i="15"/>
  <c r="D17" i="15"/>
  <c r="M31" i="15"/>
  <c r="H29" i="15"/>
  <c r="D12" i="15"/>
  <c r="L17" i="15"/>
  <c r="H28" i="15"/>
  <c r="G16" i="15"/>
  <c r="L30" i="15"/>
  <c r="G11" i="15"/>
  <c r="C41" i="15"/>
  <c r="D15" i="15"/>
  <c r="G13" i="15"/>
  <c r="D32" i="15"/>
  <c r="C14" i="15"/>
  <c r="E21" i="15"/>
  <c r="E32" i="15"/>
  <c r="I35" i="15"/>
  <c r="J10" i="15"/>
  <c r="C10" i="15"/>
  <c r="C12" i="15"/>
  <c r="H37" i="15"/>
  <c r="N22" i="15"/>
  <c r="N13" i="15"/>
  <c r="L15" i="15"/>
  <c r="E20" i="15"/>
  <c r="L16" i="15"/>
  <c r="C16" i="15"/>
  <c r="L9" i="15"/>
  <c r="D14" i="15"/>
  <c r="J34" i="15"/>
  <c r="F28" i="15"/>
  <c r="M41" i="15"/>
  <c r="J20" i="15"/>
  <c r="K28" i="15"/>
  <c r="N33" i="15"/>
  <c r="I17" i="15"/>
  <c r="L18" i="15"/>
  <c r="K22" i="15"/>
  <c r="C37" i="15"/>
  <c r="G39" i="15"/>
  <c r="K39" i="15"/>
  <c r="H34" i="15"/>
  <c r="L28" i="15"/>
  <c r="D35" i="15"/>
  <c r="D16" i="15"/>
  <c r="L11" i="15"/>
  <c r="G33" i="15"/>
  <c r="K38" i="15"/>
  <c r="C27" i="15"/>
  <c r="C18" i="15"/>
  <c r="G40" i="15"/>
  <c r="C21" i="15"/>
  <c r="L19" i="15"/>
  <c r="F18" i="15"/>
  <c r="N17" i="15"/>
  <c r="K26" i="15"/>
  <c r="H30" i="15"/>
  <c r="K20" i="15"/>
  <c r="L27" i="15"/>
  <c r="H19" i="15"/>
  <c r="N15" i="15"/>
  <c r="E28" i="15"/>
  <c r="K12" i="15"/>
  <c r="D18" i="15"/>
  <c r="E27" i="15"/>
  <c r="D21" i="15"/>
  <c r="D41" i="15"/>
  <c r="J13" i="15"/>
  <c r="I34" i="15"/>
  <c r="F39" i="15"/>
  <c r="K17" i="15"/>
  <c r="I27" i="15"/>
  <c r="G14" i="15"/>
  <c r="H33" i="15"/>
  <c r="J41" i="15"/>
  <c r="E35" i="15"/>
  <c r="L10" i="15"/>
  <c r="D27" i="15"/>
  <c r="D39" i="15"/>
  <c r="N18" i="15"/>
  <c r="N9" i="15"/>
  <c r="F21" i="15"/>
  <c r="G41" i="15"/>
  <c r="M9" i="15"/>
  <c r="E26" i="15"/>
  <c r="N14" i="15"/>
  <c r="G12" i="15"/>
  <c r="C38" i="15"/>
  <c r="F22" i="15"/>
  <c r="L39" i="15"/>
  <c r="N21" i="15"/>
  <c r="L20" i="15"/>
  <c r="J15" i="15"/>
  <c r="K27" i="15"/>
  <c r="G27" i="15"/>
  <c r="C26" i="15"/>
  <c r="K19" i="15"/>
  <c r="J21" i="15"/>
  <c r="N20" i="15"/>
  <c r="M18" i="15"/>
  <c r="K41" i="15"/>
  <c r="N19" i="15"/>
  <c r="G31" i="15"/>
  <c r="M32" i="15"/>
  <c r="L31" i="15"/>
  <c r="C40" i="15"/>
  <c r="M14" i="15"/>
  <c r="J31" i="15"/>
  <c r="G32" i="15"/>
  <c r="D20" i="15"/>
  <c r="J16" i="15"/>
  <c r="M35" i="15"/>
  <c r="C29" i="15"/>
  <c r="I10" i="15"/>
  <c r="E29" i="15"/>
  <c r="N39" i="15"/>
  <c r="G28" i="15"/>
  <c r="K31" i="15"/>
  <c r="C13" i="15"/>
  <c r="C30" i="15"/>
  <c r="N40" i="15"/>
  <c r="I12" i="15"/>
  <c r="H32" i="15"/>
  <c r="K10" i="15"/>
  <c r="L34" i="15"/>
  <c r="M37" i="15"/>
  <c r="C34" i="15"/>
  <c r="C19" i="15"/>
  <c r="G30" i="15"/>
  <c r="E10" i="15"/>
  <c r="F41" i="15"/>
  <c r="M27" i="15"/>
  <c r="M22" i="15"/>
  <c r="D10" i="15"/>
  <c r="H17" i="15"/>
  <c r="D30" i="15"/>
  <c r="L40" i="15"/>
  <c r="D13" i="15"/>
  <c r="N26" i="15"/>
  <c r="F20" i="15"/>
  <c r="D11" i="15"/>
  <c r="J17" i="15"/>
  <c r="N11" i="15"/>
  <c r="D29" i="15"/>
  <c r="M11" i="15"/>
  <c r="N12" i="15"/>
  <c r="H39" i="15"/>
  <c r="M30" i="15"/>
  <c r="M13" i="15"/>
  <c r="H9" i="15"/>
  <c r="K32" i="15"/>
  <c r="K33" i="15"/>
  <c r="N32" i="15"/>
  <c r="L22" i="15"/>
  <c r="J19" i="15"/>
  <c r="C9" i="15"/>
  <c r="M20" i="15"/>
  <c r="L38" i="15"/>
  <c r="G37" i="15"/>
  <c r="F9" i="15"/>
  <c r="G20" i="15"/>
  <c r="H15" i="15"/>
  <c r="E39" i="15"/>
  <c r="E38" i="15"/>
  <c r="G29" i="15"/>
  <c r="J27" i="15"/>
  <c r="L13" i="15"/>
  <c r="N35" i="15"/>
  <c r="J30" i="15"/>
  <c r="C33" i="15"/>
  <c r="F12" i="15"/>
  <c r="J40" i="15"/>
  <c r="L41" i="15"/>
  <c r="F29" i="15"/>
  <c r="K15" i="15"/>
  <c r="H31" i="15"/>
  <c r="E16" i="15"/>
  <c r="E11" i="15"/>
  <c r="D33" i="15"/>
  <c r="H18" i="15"/>
  <c r="D26" i="15"/>
  <c r="F27" i="15"/>
  <c r="H27" i="15"/>
  <c r="G21" i="15"/>
  <c r="M39" i="15"/>
  <c r="K30" i="15"/>
  <c r="G10" i="15"/>
  <c r="H11" i="15"/>
  <c r="M16" i="15"/>
  <c r="M28" i="15"/>
  <c r="H38" i="15"/>
  <c r="K40" i="15"/>
  <c r="G26" i="15"/>
  <c r="N16" i="15"/>
  <c r="E22" i="15"/>
  <c r="H40" i="15"/>
  <c r="G38" i="15"/>
  <c r="D28" i="15"/>
  <c r="I21" i="15"/>
  <c r="C20" i="15"/>
  <c r="D22" i="15"/>
  <c r="G35" i="15"/>
  <c r="E18" i="15"/>
  <c r="M26" i="15"/>
  <c r="E41" i="15"/>
  <c r="I13" i="15"/>
  <c r="F17" i="15"/>
  <c r="G9" i="15"/>
  <c r="G15" i="15"/>
  <c r="H10" i="15"/>
  <c r="F26" i="15"/>
  <c r="J12" i="15"/>
  <c r="E30" i="15"/>
  <c r="E9" i="15"/>
  <c r="I9" i="15"/>
  <c r="J35" i="15"/>
  <c r="F11" i="15"/>
  <c r="F38" i="15"/>
  <c r="L12" i="15"/>
  <c r="E33" i="15"/>
  <c r="M40" i="15"/>
  <c r="J11" i="15"/>
  <c r="M17" i="15"/>
  <c r="F34" i="15"/>
  <c r="C11" i="15"/>
  <c r="F32" i="15"/>
  <c r="N41" i="15"/>
  <c r="M34" i="15"/>
  <c r="I39" i="15"/>
  <c r="F14" i="15"/>
  <c r="BJ2" i="3" a="1"/>
  <c r="BJ2" i="3" s="1"/>
  <c r="BK1" i="3"/>
  <c r="BJ5" i="3" a="1"/>
  <c r="BJ7" i="3" a="1"/>
  <c r="BJ9" i="3" a="1"/>
  <c r="BJ8" i="3" a="1"/>
  <c r="BJ13" i="3" a="1"/>
  <c r="BJ13" i="3" l="1"/>
  <c r="BJ8" i="3"/>
  <c r="AP1" i="13"/>
  <c r="AP2" i="13" s="1" a="1"/>
  <c r="AP2" i="13" s="1"/>
  <c r="AP53" i="13" s="1"/>
  <c r="BJ7" i="3"/>
  <c r="BJ9" i="3"/>
  <c r="BJ5" i="3"/>
  <c r="AQ1" i="20"/>
  <c r="AP2" i="20"/>
  <c r="AO28" i="20"/>
  <c r="B27" i="15"/>
  <c r="B11" i="15"/>
  <c r="B28" i="15"/>
  <c r="B32" i="15"/>
  <c r="B21" i="15"/>
  <c r="B14" i="15"/>
  <c r="B12" i="15"/>
  <c r="B33" i="15"/>
  <c r="B29" i="15"/>
  <c r="B15" i="15"/>
  <c r="B17" i="15"/>
  <c r="B35" i="15"/>
  <c r="B20" i="15"/>
  <c r="B26" i="15"/>
  <c r="B19" i="15"/>
  <c r="B34" i="15"/>
  <c r="B16" i="15"/>
  <c r="B10" i="15"/>
  <c r="B30" i="15"/>
  <c r="B18" i="15"/>
  <c r="B9" i="15"/>
  <c r="B13" i="15"/>
  <c r="B22" i="15"/>
  <c r="B31" i="15"/>
  <c r="BK2" i="3" a="1"/>
  <c r="BK2" i="3" s="1"/>
  <c r="BL1" i="3"/>
  <c r="BK11" i="3" a="1"/>
  <c r="BK8" i="3" a="1"/>
  <c r="BK12" i="3" a="1"/>
  <c r="BK7" i="3" a="1"/>
  <c r="BK3" i="3" a="1"/>
  <c r="BK10" i="3" a="1"/>
  <c r="BK9" i="3" a="1"/>
  <c r="BK4" i="3" a="1"/>
  <c r="BK5" i="3" a="1"/>
  <c r="BK5" i="3" l="1"/>
  <c r="BK9" i="3"/>
  <c r="AQ1" i="13"/>
  <c r="AQ2" i="13" s="1" a="1"/>
  <c r="AQ2" i="13" s="1"/>
  <c r="AQ53" i="13" s="1"/>
  <c r="BK7" i="3"/>
  <c r="BK4" i="3"/>
  <c r="BK3" i="3"/>
  <c r="BK8" i="3"/>
  <c r="BK12" i="3"/>
  <c r="BK11" i="3"/>
  <c r="BK10" i="3"/>
  <c r="AR1" i="20"/>
  <c r="AQ2" i="20"/>
  <c r="AP28" i="20"/>
  <c r="BL2" i="3" a="1"/>
  <c r="BL2" i="3" s="1"/>
  <c r="BM1" i="3"/>
  <c r="BL11" i="3" a="1"/>
  <c r="BL7" i="3" a="1"/>
  <c r="BL8" i="3" a="1"/>
  <c r="BL3" i="3" a="1"/>
  <c r="BL12" i="3" a="1"/>
  <c r="BL10" i="3" a="1"/>
  <c r="BL9" i="3" a="1"/>
  <c r="BL4" i="3" a="1"/>
  <c r="BL9" i="3" l="1"/>
  <c r="AR1" i="13"/>
  <c r="AR2" i="13" s="1" a="1"/>
  <c r="AR2" i="13" s="1"/>
  <c r="AR53" i="13" s="1"/>
  <c r="BL12" i="3"/>
  <c r="BL11" i="3"/>
  <c r="BL8" i="3"/>
  <c r="BL7" i="3"/>
  <c r="BL10" i="3"/>
  <c r="BL4" i="3"/>
  <c r="BL3" i="3"/>
  <c r="AS1" i="20"/>
  <c r="AR2" i="20"/>
  <c r="AQ28" i="20"/>
  <c r="BM2" i="3" a="1"/>
  <c r="BM2" i="3" s="1"/>
  <c r="BN1" i="3"/>
  <c r="BO1" i="3" s="1"/>
  <c r="BM10" i="3" a="1"/>
  <c r="BM8" i="3" a="1"/>
  <c r="BM7" i="3" a="1"/>
  <c r="BM8" i="3" l="1"/>
  <c r="BM7" i="3"/>
  <c r="AS1" i="13"/>
  <c r="AS2" i="13" s="1" a="1"/>
  <c r="AS2" i="13" s="1"/>
  <c r="AS53" i="13" s="1"/>
  <c r="BM10" i="3"/>
  <c r="AT1" i="20"/>
  <c r="AS2" i="20"/>
  <c r="AR28" i="20"/>
  <c r="BO2" i="3" a="1"/>
  <c r="BO2" i="3" s="1"/>
  <c r="BP1" i="3"/>
  <c r="BN2" i="3" a="1"/>
  <c r="BN2" i="3" s="1"/>
  <c r="BO6" i="3" a="1"/>
  <c r="BO12" i="3" a="1"/>
  <c r="BO11" i="3" a="1"/>
  <c r="BN9" i="3" a="1"/>
  <c r="BN14" i="3" a="1"/>
  <c r="BN5" i="3" a="1"/>
  <c r="BO4" i="3" a="1"/>
  <c r="BN14" i="3" l="1"/>
  <c r="BN5" i="3"/>
  <c r="BN9" i="3"/>
  <c r="BO4" i="3"/>
  <c r="AT1" i="13"/>
  <c r="AT2" i="13" s="1" a="1"/>
  <c r="AT2" i="13" s="1"/>
  <c r="AT53" i="13" s="1"/>
  <c r="BO6" i="3"/>
  <c r="BO11" i="3"/>
  <c r="BO12" i="3"/>
  <c r="AU1" i="20"/>
  <c r="AT2" i="20"/>
  <c r="AS28" i="20"/>
  <c r="BQ1" i="3"/>
  <c r="BR1" i="3" s="1"/>
  <c r="BP2" i="3" a="1"/>
  <c r="BP2" i="3" s="1"/>
  <c r="BP12" i="3" a="1"/>
  <c r="BP11" i="3" a="1"/>
  <c r="BP10" i="3" a="1"/>
  <c r="BP8" i="3" a="1"/>
  <c r="BP5" i="3" a="1"/>
  <c r="BP4" i="3" a="1"/>
  <c r="BP9" i="3" a="1"/>
  <c r="BP5" i="3" l="1"/>
  <c r="BP9" i="3"/>
  <c r="AU1" i="13"/>
  <c r="AU2" i="13" s="1" a="1"/>
  <c r="AU2" i="13" s="1"/>
  <c r="BP11" i="3"/>
  <c r="BP8" i="3"/>
  <c r="BP4" i="3"/>
  <c r="BP10" i="3"/>
  <c r="BP12" i="3"/>
  <c r="AV1" i="20"/>
  <c r="AU2" i="20"/>
  <c r="AU28" i="20" s="1"/>
  <c r="AU53" i="13"/>
  <c r="AT28" i="20"/>
  <c r="BR2" i="3" a="1"/>
  <c r="BR2" i="3" s="1"/>
  <c r="BS1" i="3"/>
  <c r="BQ2" i="3" a="1"/>
  <c r="BQ2" i="3" s="1"/>
  <c r="BQ7" i="3" a="1"/>
  <c r="BQ8" i="3" a="1"/>
  <c r="BQ11" i="3" a="1"/>
  <c r="BQ9" i="3" a="1"/>
  <c r="BR5" i="3" a="1"/>
  <c r="BR9" i="3" a="1"/>
  <c r="BQ6" i="3" a="1"/>
  <c r="BQ12" i="3" a="1"/>
  <c r="BQ3" i="3" a="1"/>
  <c r="BR14" i="3" a="1"/>
  <c r="BR9" i="3" l="1"/>
  <c r="BR14" i="3"/>
  <c r="BR5" i="3"/>
  <c r="BQ3" i="3"/>
  <c r="AV1" i="13"/>
  <c r="AV2" i="13" s="1" a="1"/>
  <c r="AV2" i="13" s="1"/>
  <c r="BQ6" i="3"/>
  <c r="BQ8" i="3"/>
  <c r="BQ11" i="3"/>
  <c r="BQ7" i="3"/>
  <c r="BQ12" i="3"/>
  <c r="BQ9" i="3"/>
  <c r="AW1" i="20"/>
  <c r="AV2" i="20"/>
  <c r="AV53" i="13"/>
  <c r="BT1" i="3"/>
  <c r="BS2" i="3" a="1"/>
  <c r="BS2" i="3" s="1"/>
  <c r="BS9" i="3" a="1"/>
  <c r="BS4" i="3" a="1"/>
  <c r="BS14" i="3" a="1"/>
  <c r="BS9" i="3" l="1"/>
  <c r="BS14" i="3"/>
  <c r="BS4" i="3"/>
  <c r="AW1" i="13"/>
  <c r="AW2" i="13" s="1" a="1"/>
  <c r="AW2" i="13" s="1"/>
  <c r="AX1" i="20"/>
  <c r="AY1" i="20" s="1"/>
  <c r="AW2" i="20"/>
  <c r="AW53" i="13"/>
  <c r="AV28" i="20"/>
  <c r="BU1" i="3"/>
  <c r="BV1" i="3" s="1"/>
  <c r="BT2" i="3" a="1"/>
  <c r="BT2" i="3" s="1"/>
  <c r="K8" i="18" a="1"/>
  <c r="BT9" i="3" a="1"/>
  <c r="BT4" i="3" a="1"/>
  <c r="BT14" i="3" a="1"/>
  <c r="BT9" i="3" l="1"/>
  <c r="BT4" i="3"/>
  <c r="BT14" i="3"/>
  <c r="AX1" i="13"/>
  <c r="AX2" i="13" s="1" a="1"/>
  <c r="AX2" i="13" s="1"/>
  <c r="BW1" i="3"/>
  <c r="BV2" i="3" a="1"/>
  <c r="BV2" i="3" s="1"/>
  <c r="AY2" i="20"/>
  <c r="AY28" i="20" s="1"/>
  <c r="AZ1" i="20"/>
  <c r="AX2" i="20"/>
  <c r="AX53" i="13"/>
  <c r="AW28" i="20"/>
  <c r="BU2" i="3" a="1"/>
  <c r="BU2" i="3" s="1"/>
  <c r="K8" i="18"/>
  <c r="V3" i="3" a="1"/>
  <c r="BU6" i="3" a="1"/>
  <c r="BV10" i="3" a="1"/>
  <c r="BU8" i="3" a="1"/>
  <c r="BU4" i="3" a="1"/>
  <c r="BU9" i="3" a="1"/>
  <c r="BV5" i="3" a="1"/>
  <c r="BU12" i="3" a="1"/>
  <c r="BV7" i="3" a="1"/>
  <c r="BV12" i="3" a="1"/>
  <c r="C7" i="18" a="1"/>
  <c r="BV13" i="3" a="1"/>
  <c r="U3" i="3" a="1"/>
  <c r="G7" i="18"/>
  <c r="C9" i="18" a="1"/>
  <c r="T3" i="3" a="1"/>
  <c r="BU13" i="3" a="1"/>
  <c r="C10" i="18" a="1"/>
  <c r="BU7" i="3" a="1"/>
  <c r="G8" i="18"/>
  <c r="G6" i="18"/>
  <c r="BU11" i="3" a="1"/>
  <c r="BU14" i="3" a="1"/>
  <c r="BV8" i="3" a="1"/>
  <c r="G5" i="18"/>
  <c r="C11" i="18" a="1"/>
  <c r="K5" i="18" a="1"/>
  <c r="K6" i="18" a="1"/>
  <c r="BU13" i="3" l="1"/>
  <c r="BV13" i="3"/>
  <c r="BV12" i="3"/>
  <c r="BV8" i="3"/>
  <c r="BV7" i="3"/>
  <c r="AY1" i="13"/>
  <c r="AZ1" i="13" s="1"/>
  <c r="BU11" i="3"/>
  <c r="BU14" i="3"/>
  <c r="BU12" i="3"/>
  <c r="BU9" i="3"/>
  <c r="BU7" i="3"/>
  <c r="BU6" i="3"/>
  <c r="BU8" i="3"/>
  <c r="BU4" i="3"/>
  <c r="BV10" i="3"/>
  <c r="BV5" i="3"/>
  <c r="BX1" i="3"/>
  <c r="BW2" i="3" a="1"/>
  <c r="BW2" i="3" s="1"/>
  <c r="AZ2" i="20"/>
  <c r="AZ28" i="20" s="1"/>
  <c r="BA1" i="20"/>
  <c r="BB1" i="20" s="1"/>
  <c r="AX28" i="20"/>
  <c r="T3" i="3"/>
  <c r="U3" i="3"/>
  <c r="C9" i="18"/>
  <c r="C7" i="18"/>
  <c r="C11" i="18"/>
  <c r="V3" i="3"/>
  <c r="K6" i="18"/>
  <c r="C10" i="18"/>
  <c r="K5" i="18"/>
  <c r="BW7" i="3" a="1"/>
  <c r="BW9" i="3" a="1"/>
  <c r="BW5" i="3" a="1"/>
  <c r="J55" i="15" a="1"/>
  <c r="E55" i="15" a="1"/>
  <c r="G55" i="15" a="1"/>
  <c r="H55" i="15" a="1"/>
  <c r="N55" i="15" a="1"/>
  <c r="F55" i="15" a="1"/>
  <c r="I55" i="15" a="1"/>
  <c r="C55" i="15" a="1"/>
  <c r="BW8" i="3" a="1"/>
  <c r="K55" i="15" a="1"/>
  <c r="D55" i="15" a="1"/>
  <c r="L55" i="15" a="1"/>
  <c r="M55" i="15" a="1"/>
  <c r="BW8" i="3" l="1"/>
  <c r="BW7" i="3"/>
  <c r="AY2" i="13" a="1"/>
  <c r="AY2" i="13" s="1"/>
  <c r="BW5" i="3"/>
  <c r="BW9" i="3"/>
  <c r="BY1" i="3"/>
  <c r="BX2" i="3" a="1"/>
  <c r="BX2" i="3" s="1"/>
  <c r="BA1" i="13"/>
  <c r="AZ2" i="13" a="1"/>
  <c r="AZ2" i="13" s="1"/>
  <c r="BB2" i="20"/>
  <c r="BB28" i="20" s="1"/>
  <c r="BC1" i="20"/>
  <c r="BC2" i="20" s="1"/>
  <c r="BA2" i="20"/>
  <c r="BA28" i="20" s="1"/>
  <c r="J55" i="15"/>
  <c r="C55" i="15"/>
  <c r="H55" i="15"/>
  <c r="L55" i="15"/>
  <c r="E55" i="15"/>
  <c r="G55" i="15"/>
  <c r="I55" i="15"/>
  <c r="K55" i="15"/>
  <c r="F55" i="15"/>
  <c r="D55" i="15"/>
  <c r="M55" i="15"/>
  <c r="N55" i="15"/>
  <c r="A57" i="5"/>
  <c r="A58" i="5" s="1"/>
  <c r="A59" i="5" s="1"/>
  <c r="P14" i="15"/>
  <c r="P27" i="15"/>
  <c r="P18" i="15"/>
  <c r="P22" i="15"/>
  <c r="P29" i="15"/>
  <c r="P21" i="15"/>
  <c r="P20" i="15"/>
  <c r="P8" i="15"/>
  <c r="P17" i="15"/>
  <c r="P12" i="15"/>
  <c r="P28" i="15"/>
  <c r="P33" i="15"/>
  <c r="P34" i="15"/>
  <c r="P35" i="15"/>
  <c r="P9" i="15"/>
  <c r="P13" i="15"/>
  <c r="P32" i="15"/>
  <c r="P11" i="15"/>
  <c r="P10" i="15"/>
  <c r="P30" i="15"/>
  <c r="P26" i="15"/>
  <c r="B6" i="15"/>
  <c r="P6" i="15"/>
  <c r="P31" i="15"/>
  <c r="P7" i="15"/>
  <c r="P19" i="15"/>
  <c r="P16" i="15"/>
  <c r="P15" i="15"/>
  <c r="BX8" i="3" a="1"/>
  <c r="BX9" i="3" a="1"/>
  <c r="BX4" i="3" a="1"/>
  <c r="BX10" i="3" a="1"/>
  <c r="BX6" i="3" a="1"/>
  <c r="BX13" i="3" a="1"/>
  <c r="L53" i="15" a="1"/>
  <c r="J25" i="15" a="1"/>
  <c r="J42" i="15" a="1"/>
  <c r="F52" i="15" a="1"/>
  <c r="H53" i="15" a="1"/>
  <c r="D52" i="15" a="1"/>
  <c r="L52" i="15" a="1"/>
  <c r="E53" i="15" a="1"/>
  <c r="F53" i="15" a="1"/>
  <c r="C42" i="15" a="1"/>
  <c r="L42" i="15" a="1"/>
  <c r="N54" i="15" a="1"/>
  <c r="I50" i="15" a="1"/>
  <c r="E23" i="15" a="1"/>
  <c r="I25" i="15" a="1"/>
  <c r="J50" i="15" a="1"/>
  <c r="L24" i="15" a="1"/>
  <c r="D53" i="15" a="1"/>
  <c r="E25" i="15" a="1"/>
  <c r="M23" i="15" a="1"/>
  <c r="F23" i="15" a="1"/>
  <c r="N42" i="15" a="1"/>
  <c r="G53" i="15" a="1"/>
  <c r="J51" i="15" a="1"/>
  <c r="C52" i="15" a="1"/>
  <c r="F51" i="15" a="1"/>
  <c r="C51" i="15" a="1"/>
  <c r="G50" i="15" a="1"/>
  <c r="H54" i="15" a="1"/>
  <c r="D50" i="15" a="1"/>
  <c r="I42" i="15" a="1"/>
  <c r="H51" i="15" a="1"/>
  <c r="C53" i="15" a="1"/>
  <c r="G23" i="15" a="1"/>
  <c r="L51" i="15" a="1"/>
  <c r="E51" i="15" a="1"/>
  <c r="K51" i="15" a="1"/>
  <c r="N25" i="15" a="1"/>
  <c r="BX11" i="3" a="1"/>
  <c r="I54" i="15" a="1"/>
  <c r="J23" i="15" a="1"/>
  <c r="D54" i="15" a="1"/>
  <c r="M42" i="15" a="1"/>
  <c r="M24" i="15" a="1"/>
  <c r="G52" i="15" a="1"/>
  <c r="K42" i="15" a="1"/>
  <c r="F24" i="15" a="1"/>
  <c r="C24" i="15" a="1"/>
  <c r="J24" i="15" a="1"/>
  <c r="BX12" i="3" a="1"/>
  <c r="K52" i="15" a="1"/>
  <c r="D42" i="15" a="1"/>
  <c r="J52" i="15" a="1"/>
  <c r="G25" i="15" a="1"/>
  <c r="N23" i="15" a="1"/>
  <c r="M54" i="15" a="1"/>
  <c r="F42" i="15" a="1"/>
  <c r="D25" i="15" a="1"/>
  <c r="I24" i="15" a="1"/>
  <c r="L25" i="15" a="1"/>
  <c r="K25" i="15" a="1"/>
  <c r="M52" i="15" a="1"/>
  <c r="H23" i="15" a="1"/>
  <c r="L23" i="15" a="1"/>
  <c r="E42" i="15" a="1"/>
  <c r="G42" i="15" a="1"/>
  <c r="G54" i="15" a="1"/>
  <c r="N50" i="15" a="1"/>
  <c r="I53" i="15" a="1"/>
  <c r="E52" i="15" a="1"/>
  <c r="N24" i="15" a="1"/>
  <c r="N51" i="15" a="1"/>
  <c r="D23" i="15" a="1"/>
  <c r="C50" i="15" a="1"/>
  <c r="F54" i="15" a="1"/>
  <c r="M50" i="15" a="1"/>
  <c r="E50" i="15" a="1"/>
  <c r="H50" i="15" a="1"/>
  <c r="H25" i="15" a="1"/>
  <c r="L50" i="15" a="1"/>
  <c r="C54" i="15" a="1"/>
  <c r="M51" i="15" a="1"/>
  <c r="K23" i="15" a="1"/>
  <c r="I52" i="15" a="1"/>
  <c r="C25" i="15" a="1"/>
  <c r="E54" i="15" a="1"/>
  <c r="I23" i="15" a="1"/>
  <c r="K53" i="15" a="1"/>
  <c r="N52" i="15" a="1"/>
  <c r="J54" i="15" a="1"/>
  <c r="G24" i="15" a="1"/>
  <c r="H42" i="15" a="1"/>
  <c r="F50" i="15" a="1"/>
  <c r="K54" i="15" a="1"/>
  <c r="K50" i="15" a="1"/>
  <c r="BX5" i="3" a="1"/>
  <c r="F25" i="15" a="1"/>
  <c r="I51" i="15" a="1"/>
  <c r="J53" i="15" a="1"/>
  <c r="D51" i="15" a="1"/>
  <c r="C23" i="15" a="1"/>
  <c r="D24" i="15" a="1"/>
  <c r="H24" i="15" a="1"/>
  <c r="M25" i="15" a="1"/>
  <c r="L54" i="15" a="1"/>
  <c r="H52" i="15" a="1"/>
  <c r="G51" i="15" a="1"/>
  <c r="N53" i="15" a="1"/>
  <c r="M53" i="15" a="1"/>
  <c r="E24" i="15" a="1"/>
  <c r="K24" i="15" a="1"/>
  <c r="BX7" i="3" a="1"/>
  <c r="BX13" i="3" l="1"/>
  <c r="BX11" i="3"/>
  <c r="BX5" i="3"/>
  <c r="BX7" i="3"/>
  <c r="BX8" i="3"/>
  <c r="BX12" i="3"/>
  <c r="BX6" i="3"/>
  <c r="BX10" i="3"/>
  <c r="BX9" i="3"/>
  <c r="BX4" i="3"/>
  <c r="BB1" i="13"/>
  <c r="BA2" i="13" a="1"/>
  <c r="BA2" i="13" s="1"/>
  <c r="BY2" i="3" a="1"/>
  <c r="BY2" i="3" s="1"/>
  <c r="BZ1" i="3"/>
  <c r="A60" i="5"/>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A101" i="5" s="1"/>
  <c r="A102" i="5" s="1"/>
  <c r="A103" i="5" s="1"/>
  <c r="A104" i="5" s="1"/>
  <c r="A105" i="5" s="1"/>
  <c r="A106" i="5" s="1"/>
  <c r="A107" i="5" s="1"/>
  <c r="A108" i="5" s="1"/>
  <c r="A109" i="5" s="1"/>
  <c r="A110" i="5" s="1"/>
  <c r="A111" i="5" s="1"/>
  <c r="A112" i="5" s="1"/>
  <c r="A113" i="5" s="1"/>
  <c r="A114" i="5" s="1"/>
  <c r="A115" i="5" s="1"/>
  <c r="A116" i="5" s="1"/>
  <c r="A117" i="5" s="1"/>
  <c r="A118" i="5" s="1"/>
  <c r="A119" i="5" s="1"/>
  <c r="A120" i="5" s="1"/>
  <c r="A121" i="5" s="1"/>
  <c r="A122" i="5" s="1"/>
  <c r="A123" i="5" s="1"/>
  <c r="A124" i="5" s="1"/>
  <c r="A125" i="5" s="1"/>
  <c r="A126" i="5" s="1"/>
  <c r="A127" i="5" s="1"/>
  <c r="A128" i="5" s="1"/>
  <c r="A129" i="5" s="1"/>
  <c r="A130" i="5" s="1"/>
  <c r="A131" i="5" s="1"/>
  <c r="A132" i="5" s="1"/>
  <c r="A133" i="5" s="1"/>
  <c r="A134" i="5" s="1"/>
  <c r="A135" i="5" s="1"/>
  <c r="A136" i="5" s="1"/>
  <c r="A137" i="5" s="1"/>
  <c r="A138" i="5" s="1"/>
  <c r="A139" i="5" s="1"/>
  <c r="A140" i="5" s="1"/>
  <c r="A141" i="5" s="1"/>
  <c r="A142" i="5" s="1"/>
  <c r="A143" i="5" s="1"/>
  <c r="BC28" i="20"/>
  <c r="BD1" i="20"/>
  <c r="BD2" i="20" s="1"/>
  <c r="BD28" i="20" s="1"/>
  <c r="B55" i="15"/>
  <c r="E24" i="15"/>
  <c r="G25" i="15"/>
  <c r="D24" i="15"/>
  <c r="D25" i="15"/>
  <c r="N25" i="15"/>
  <c r="H24" i="15"/>
  <c r="N24" i="15"/>
  <c r="G24" i="15"/>
  <c r="H23" i="15"/>
  <c r="L24" i="15"/>
  <c r="J23" i="15"/>
  <c r="G23" i="15"/>
  <c r="I25" i="15"/>
  <c r="C25" i="15"/>
  <c r="K25" i="15"/>
  <c r="M25" i="15"/>
  <c r="F23" i="15"/>
  <c r="C24" i="15"/>
  <c r="K23" i="15"/>
  <c r="I24" i="15"/>
  <c r="L25" i="15"/>
  <c r="N23" i="15"/>
  <c r="K24" i="15"/>
  <c r="J25" i="15"/>
  <c r="F24" i="15"/>
  <c r="J24" i="15"/>
  <c r="M24" i="15"/>
  <c r="E25" i="15"/>
  <c r="L23" i="15"/>
  <c r="I23" i="15"/>
  <c r="M23" i="15"/>
  <c r="E23" i="15"/>
  <c r="F25" i="15"/>
  <c r="D23" i="15"/>
  <c r="H25" i="15"/>
  <c r="C23" i="15"/>
  <c r="K53" i="15"/>
  <c r="L52" i="15"/>
  <c r="C53" i="15"/>
  <c r="I51" i="15"/>
  <c r="N52" i="15"/>
  <c r="H50" i="15"/>
  <c r="J42" i="15"/>
  <c r="L42" i="15"/>
  <c r="L53" i="15"/>
  <c r="J52" i="15"/>
  <c r="G51" i="15"/>
  <c r="E53" i="15"/>
  <c r="K52" i="15"/>
  <c r="D42" i="15"/>
  <c r="C52" i="15"/>
  <c r="H52" i="15"/>
  <c r="I53" i="15"/>
  <c r="F50" i="15"/>
  <c r="N53" i="15"/>
  <c r="I50" i="15"/>
  <c r="D52" i="15"/>
  <c r="N42" i="15"/>
  <c r="C42" i="15"/>
  <c r="D53" i="15"/>
  <c r="E52" i="15"/>
  <c r="F52" i="15"/>
  <c r="J51" i="15"/>
  <c r="I42" i="15"/>
  <c r="K51" i="15"/>
  <c r="N50" i="15"/>
  <c r="F53" i="15"/>
  <c r="G50" i="15"/>
  <c r="D51" i="15"/>
  <c r="K42" i="15"/>
  <c r="C51" i="15"/>
  <c r="J50" i="15"/>
  <c r="M42" i="15"/>
  <c r="N51" i="15"/>
  <c r="I52" i="15"/>
  <c r="M53" i="15"/>
  <c r="K50" i="15"/>
  <c r="G52" i="15"/>
  <c r="F51" i="15"/>
  <c r="F42" i="15"/>
  <c r="D50" i="15"/>
  <c r="E51" i="15"/>
  <c r="G53" i="15"/>
  <c r="M50" i="15"/>
  <c r="C50" i="15"/>
  <c r="H51" i="15"/>
  <c r="L50" i="15"/>
  <c r="E50" i="15"/>
  <c r="E42" i="15"/>
  <c r="J53" i="15"/>
  <c r="H42" i="15"/>
  <c r="L51" i="15"/>
  <c r="G42" i="15"/>
  <c r="M52" i="15"/>
  <c r="M51" i="15"/>
  <c r="H53" i="15"/>
  <c r="M54" i="15"/>
  <c r="F54" i="15"/>
  <c r="K54" i="15"/>
  <c r="I54" i="15"/>
  <c r="L54" i="15"/>
  <c r="G54" i="15"/>
  <c r="D54" i="15"/>
  <c r="H54" i="15"/>
  <c r="N54" i="15"/>
  <c r="J54" i="15"/>
  <c r="C54" i="15"/>
  <c r="E54" i="15"/>
  <c r="BY9" i="3" a="1"/>
  <c r="BY13" i="3" a="1"/>
  <c r="BY7" i="3" a="1"/>
  <c r="BY3" i="3" a="1"/>
  <c r="BY10" i="3" a="1"/>
  <c r="BY11" i="3" a="1"/>
  <c r="BY12" i="3" a="1"/>
  <c r="BY6" i="3" a="1"/>
  <c r="BY8" i="3" a="1"/>
  <c r="BY5" i="3" a="1"/>
  <c r="BY14" i="3" a="1"/>
  <c r="BY4" i="3" a="1"/>
  <c r="BY9" i="3" l="1"/>
  <c r="BY5" i="3"/>
  <c r="BY8" i="3"/>
  <c r="BY14" i="3"/>
  <c r="BY3" i="3"/>
  <c r="BY13" i="3"/>
  <c r="BY11" i="3"/>
  <c r="BY6" i="3"/>
  <c r="BY10" i="3"/>
  <c r="BY4" i="3"/>
  <c r="BY7" i="3"/>
  <c r="BY12" i="3"/>
  <c r="BZ2" i="3" a="1"/>
  <c r="BZ2" i="3" s="1"/>
  <c r="CA1" i="3"/>
  <c r="BC1" i="13"/>
  <c r="BB2" i="13" a="1"/>
  <c r="BB2" i="13" s="1"/>
  <c r="BE1" i="20"/>
  <c r="BE2" i="20" s="1"/>
  <c r="BE28" i="20" s="1"/>
  <c r="B24" i="15"/>
  <c r="P24" i="15"/>
  <c r="B42" i="15"/>
  <c r="P42" i="15"/>
  <c r="B23" i="15"/>
  <c r="P23" i="15"/>
  <c r="P51" i="15"/>
  <c r="B51" i="15"/>
  <c r="P50" i="15"/>
  <c r="B50" i="15"/>
  <c r="B54" i="15"/>
  <c r="P54" i="15"/>
  <c r="B39" i="15"/>
  <c r="P39" i="15"/>
  <c r="P53" i="15"/>
  <c r="B53" i="15"/>
  <c r="B38" i="15"/>
  <c r="P38" i="15"/>
  <c r="B41" i="15"/>
  <c r="P41" i="15"/>
  <c r="B40" i="15"/>
  <c r="P40" i="15"/>
  <c r="B37" i="15"/>
  <c r="P37" i="15"/>
  <c r="B52" i="15"/>
  <c r="P52" i="15"/>
  <c r="B25" i="15"/>
  <c r="P25" i="15"/>
  <c r="BZ14" i="3" a="1"/>
  <c r="BZ13" i="3" a="1"/>
  <c r="J56" i="15" a="1"/>
  <c r="I49" i="15" a="1"/>
  <c r="J59" i="15" a="1"/>
  <c r="G56" i="15" a="1"/>
  <c r="N49" i="15" a="1"/>
  <c r="K49" i="15" a="1"/>
  <c r="C59" i="15" a="1"/>
  <c r="L60" i="15" a="1"/>
  <c r="D44" i="15" a="1"/>
  <c r="L43" i="15" a="1"/>
  <c r="M44" i="15" a="1"/>
  <c r="E45" i="15" a="1"/>
  <c r="L49" i="15" a="1"/>
  <c r="BZ3" i="3" a="1"/>
  <c r="G60" i="15" a="1"/>
  <c r="C46" i="15" a="1"/>
  <c r="D45" i="15" a="1"/>
  <c r="L47" i="15" a="1"/>
  <c r="C43" i="15" a="1"/>
  <c r="E60" i="15" a="1"/>
  <c r="F49" i="15" a="1"/>
  <c r="D57" i="15" a="1"/>
  <c r="I45" i="15" a="1"/>
  <c r="M43" i="15" a="1"/>
  <c r="N47" i="15" a="1"/>
  <c r="L59" i="15" a="1"/>
  <c r="BZ8" i="3" a="1"/>
  <c r="N60" i="15" a="1"/>
  <c r="I43" i="15" a="1"/>
  <c r="I60" i="15" a="1"/>
  <c r="L44" i="15" a="1"/>
  <c r="N45" i="15" a="1"/>
  <c r="G59" i="15" a="1"/>
  <c r="C60" i="15" a="1"/>
  <c r="E47" i="15" a="1"/>
  <c r="D59" i="15" a="1"/>
  <c r="M49" i="15" a="1"/>
  <c r="D48" i="15" a="1"/>
  <c r="I56" i="15" a="1"/>
  <c r="L48" i="15" a="1"/>
  <c r="I46" i="15" a="1"/>
  <c r="K47" i="15" a="1"/>
  <c r="G48" i="15" a="1"/>
  <c r="E44" i="15" a="1"/>
  <c r="F57" i="15" a="1"/>
  <c r="J49" i="15" a="1"/>
  <c r="F46" i="15" a="1"/>
  <c r="J43" i="15" a="1"/>
  <c r="M57" i="15" a="1"/>
  <c r="D43" i="15" a="1"/>
  <c r="C44" i="15" a="1"/>
  <c r="F47" i="15" a="1"/>
  <c r="M59" i="15" a="1"/>
  <c r="J57" i="15" a="1"/>
  <c r="N57" i="15" a="1"/>
  <c r="E56" i="15" a="1"/>
  <c r="H57" i="15" a="1"/>
  <c r="G46" i="15" a="1"/>
  <c r="F56" i="15" a="1"/>
  <c r="BZ12" i="3" a="1"/>
  <c r="J44" i="15" a="1"/>
  <c r="BZ4" i="3" a="1"/>
  <c r="F44" i="15" a="1"/>
  <c r="N56" i="15" a="1"/>
  <c r="H48" i="15" a="1"/>
  <c r="K45" i="15" a="1"/>
  <c r="G57" i="15" a="1"/>
  <c r="M60" i="15" a="1"/>
  <c r="BZ10" i="3" a="1"/>
  <c r="C48" i="15" a="1"/>
  <c r="I57" i="15" a="1"/>
  <c r="N46" i="15" a="1"/>
  <c r="H47" i="15" a="1"/>
  <c r="M45" i="15" a="1"/>
  <c r="BZ11" i="3" a="1"/>
  <c r="H45" i="15" a="1"/>
  <c r="E48" i="15" a="1"/>
  <c r="BZ6" i="3" a="1"/>
  <c r="E49" i="15" a="1"/>
  <c r="L56" i="15" a="1"/>
  <c r="C57" i="15" a="1"/>
  <c r="N48" i="15" a="1"/>
  <c r="K43" i="15" a="1"/>
  <c r="M48" i="15" a="1"/>
  <c r="F45" i="15" a="1"/>
  <c r="M47" i="15" a="1"/>
  <c r="D47" i="15" a="1"/>
  <c r="K59" i="15" a="1"/>
  <c r="C45" i="15" a="1"/>
  <c r="G49" i="15" a="1"/>
  <c r="H56" i="15" a="1"/>
  <c r="H46" i="15" a="1"/>
  <c r="M46" i="15" a="1"/>
  <c r="E43" i="15" a="1"/>
  <c r="K44" i="15" a="1"/>
  <c r="F59" i="15" a="1"/>
  <c r="F48" i="15" a="1"/>
  <c r="D49" i="15" a="1"/>
  <c r="H44" i="15" a="1"/>
  <c r="D60" i="15" a="1"/>
  <c r="D56" i="15" a="1"/>
  <c r="I44" i="15" a="1"/>
  <c r="F43" i="15" a="1"/>
  <c r="D46" i="15" a="1"/>
  <c r="C56" i="15" a="1"/>
  <c r="K48" i="15" a="1"/>
  <c r="J48" i="15" a="1"/>
  <c r="J47" i="15" a="1"/>
  <c r="K60" i="15" a="1"/>
  <c r="K56" i="15" a="1"/>
  <c r="H43" i="15" a="1"/>
  <c r="M56" i="15" a="1"/>
  <c r="L46" i="15" a="1"/>
  <c r="G47" i="15" a="1"/>
  <c r="J60" i="15" a="1"/>
  <c r="BZ7" i="3" a="1"/>
  <c r="E57" i="15" a="1"/>
  <c r="C49" i="15" a="1"/>
  <c r="H59" i="15" a="1"/>
  <c r="H60" i="15" a="1"/>
  <c r="G45" i="15" a="1"/>
  <c r="L45" i="15" a="1"/>
  <c r="F60" i="15" a="1"/>
  <c r="K57" i="15" a="1"/>
  <c r="N43" i="15" a="1"/>
  <c r="J45" i="15" a="1"/>
  <c r="N59" i="15" a="1"/>
  <c r="G44" i="15" a="1"/>
  <c r="G43" i="15" a="1"/>
  <c r="E59" i="15" a="1"/>
  <c r="L57" i="15" a="1"/>
  <c r="N44" i="15" a="1"/>
  <c r="I48" i="15" a="1"/>
  <c r="C47" i="15" a="1"/>
  <c r="J46" i="15" a="1"/>
  <c r="K46" i="15" a="1"/>
  <c r="H49" i="15" a="1"/>
  <c r="I47" i="15" a="1"/>
  <c r="I59" i="15" a="1"/>
  <c r="E46" i="15" a="1"/>
  <c r="BZ8" i="3" l="1"/>
  <c r="BZ10" i="3"/>
  <c r="BZ3" i="3"/>
  <c r="BZ6" i="3"/>
  <c r="BZ12" i="3"/>
  <c r="BZ13" i="3"/>
  <c r="BZ14" i="3"/>
  <c r="BZ11" i="3"/>
  <c r="BZ4" i="3"/>
  <c r="BZ7" i="3"/>
  <c r="CB1" i="3"/>
  <c r="CB2" i="3" s="1" a="1"/>
  <c r="CB2" i="3" s="1"/>
  <c r="CA2" i="3" a="1"/>
  <c r="CA2" i="3" s="1"/>
  <c r="BD1" i="13"/>
  <c r="BC2" i="13" a="1"/>
  <c r="BC2" i="13" s="1"/>
  <c r="BF1" i="20"/>
  <c r="BF2" i="20" s="1"/>
  <c r="L49" i="15"/>
  <c r="M45" i="15"/>
  <c r="H43" i="15"/>
  <c r="N43" i="15"/>
  <c r="H44" i="15"/>
  <c r="N44" i="15"/>
  <c r="H45" i="15"/>
  <c r="N45" i="15"/>
  <c r="H46" i="15"/>
  <c r="N46" i="15"/>
  <c r="H47" i="15"/>
  <c r="N47" i="15"/>
  <c r="H48" i="15"/>
  <c r="N48" i="15"/>
  <c r="H49" i="15"/>
  <c r="N49" i="15"/>
  <c r="F49" i="15"/>
  <c r="G43" i="15"/>
  <c r="M48" i="15"/>
  <c r="C43" i="15"/>
  <c r="I43" i="15"/>
  <c r="C44" i="15"/>
  <c r="I44" i="15"/>
  <c r="C45" i="15"/>
  <c r="I45" i="15"/>
  <c r="C46" i="15"/>
  <c r="I46" i="15"/>
  <c r="C47" i="15"/>
  <c r="I47" i="15"/>
  <c r="C48" i="15"/>
  <c r="I48" i="15"/>
  <c r="C49" i="15"/>
  <c r="I49" i="15"/>
  <c r="M44" i="15"/>
  <c r="G46" i="15"/>
  <c r="M47" i="15"/>
  <c r="G48" i="15"/>
  <c r="L48" i="15"/>
  <c r="G45" i="15"/>
  <c r="G49" i="15"/>
  <c r="D43" i="15"/>
  <c r="J43" i="15"/>
  <c r="D44" i="15"/>
  <c r="J44" i="15"/>
  <c r="D45" i="15"/>
  <c r="J45" i="15"/>
  <c r="D46" i="15"/>
  <c r="J46" i="15"/>
  <c r="D47" i="15"/>
  <c r="J47" i="15"/>
  <c r="D48" i="15"/>
  <c r="J48" i="15"/>
  <c r="D49" i="15"/>
  <c r="J49" i="15"/>
  <c r="M43" i="15"/>
  <c r="G47" i="15"/>
  <c r="M49" i="15"/>
  <c r="G44" i="15"/>
  <c r="E43" i="15"/>
  <c r="K43" i="15"/>
  <c r="E44" i="15"/>
  <c r="K44" i="15"/>
  <c r="E45" i="15"/>
  <c r="K45" i="15"/>
  <c r="E46" i="15"/>
  <c r="K46" i="15"/>
  <c r="E47" i="15"/>
  <c r="K47" i="15"/>
  <c r="E48" i="15"/>
  <c r="K48" i="15"/>
  <c r="E49" i="15"/>
  <c r="K49" i="15"/>
  <c r="M46" i="15"/>
  <c r="F48" i="15"/>
  <c r="F43" i="15"/>
  <c r="L43" i="15"/>
  <c r="F44" i="15"/>
  <c r="L44" i="15"/>
  <c r="F45" i="15"/>
  <c r="L45" i="15"/>
  <c r="F46" i="15"/>
  <c r="L46" i="15"/>
  <c r="F47" i="15"/>
  <c r="L47" i="15"/>
  <c r="H59" i="15"/>
  <c r="H60" i="15"/>
  <c r="K60" i="15"/>
  <c r="L56" i="15"/>
  <c r="J56" i="15"/>
  <c r="K56" i="15"/>
  <c r="F59" i="15"/>
  <c r="D57" i="15"/>
  <c r="J57" i="15"/>
  <c r="M60" i="15"/>
  <c r="G60" i="15"/>
  <c r="L57" i="15"/>
  <c r="C56" i="15"/>
  <c r="G57" i="15"/>
  <c r="C59" i="15"/>
  <c r="I59" i="15"/>
  <c r="K57" i="15"/>
  <c r="H56" i="15"/>
  <c r="J59" i="15"/>
  <c r="E57" i="15"/>
  <c r="I60" i="15"/>
  <c r="N56" i="15"/>
  <c r="M59" i="15"/>
  <c r="N59" i="15"/>
  <c r="C57" i="15"/>
  <c r="G59" i="15"/>
  <c r="M57" i="15"/>
  <c r="G56" i="15"/>
  <c r="I57" i="15"/>
  <c r="K59" i="15"/>
  <c r="N60" i="15"/>
  <c r="F57" i="15"/>
  <c r="D59" i="15"/>
  <c r="F56" i="15"/>
  <c r="L60" i="15"/>
  <c r="I56" i="15"/>
  <c r="L59" i="15"/>
  <c r="E60" i="15"/>
  <c r="N57" i="15"/>
  <c r="E56" i="15"/>
  <c r="F60" i="15"/>
  <c r="C60" i="15"/>
  <c r="D56" i="15"/>
  <c r="H57" i="15"/>
  <c r="M56" i="15"/>
  <c r="D60" i="15"/>
  <c r="J60" i="15"/>
  <c r="E59" i="15"/>
  <c r="CB8" i="3" a="1"/>
  <c r="CB7" i="3" a="1"/>
  <c r="CB5" i="3" a="1"/>
  <c r="CA13" i="3" a="1"/>
  <c r="CB9" i="3" a="1"/>
  <c r="C58" i="15" a="1"/>
  <c r="CA12" i="3" a="1"/>
  <c r="G61" i="15" a="1"/>
  <c r="CA8" i="3" a="1"/>
  <c r="L58" i="15" a="1"/>
  <c r="M61" i="15" a="1"/>
  <c r="CA14" i="3" a="1"/>
  <c r="K58" i="15" a="1"/>
  <c r="E58" i="15" a="1"/>
  <c r="E61" i="15" a="1"/>
  <c r="I61" i="15" a="1"/>
  <c r="CA7" i="3" a="1"/>
  <c r="CA11" i="3" a="1"/>
  <c r="CA5" i="3" a="1"/>
  <c r="N58" i="15" a="1"/>
  <c r="J61" i="15" a="1"/>
  <c r="H58" i="15" a="1"/>
  <c r="CA3" i="3" a="1"/>
  <c r="D61" i="15" a="1"/>
  <c r="CA4" i="3" a="1"/>
  <c r="CA6" i="3" a="1"/>
  <c r="F58" i="15" a="1"/>
  <c r="M58" i="15" a="1"/>
  <c r="F61" i="15" a="1"/>
  <c r="N61" i="15" a="1"/>
  <c r="K61" i="15" a="1"/>
  <c r="C61" i="15" a="1"/>
  <c r="J58" i="15" a="1"/>
  <c r="L61" i="15" a="1"/>
  <c r="H61" i="15" a="1"/>
  <c r="I58" i="15" a="1"/>
  <c r="D58" i="15" a="1"/>
  <c r="CA10" i="3" a="1"/>
  <c r="G58" i="15" a="1"/>
  <c r="CA12" i="3" l="1"/>
  <c r="CA5" i="3"/>
  <c r="CB7" i="3"/>
  <c r="CB8" i="3"/>
  <c r="G58" i="15"/>
  <c r="L58" i="15"/>
  <c r="I58" i="15"/>
  <c r="D58" i="15"/>
  <c r="J58" i="15"/>
  <c r="K58" i="15"/>
  <c r="C58" i="15"/>
  <c r="H58" i="15"/>
  <c r="E58" i="15"/>
  <c r="M58" i="15"/>
  <c r="N58" i="15"/>
  <c r="F58" i="15"/>
  <c r="BF28" i="20"/>
  <c r="CB9" i="3"/>
  <c r="CB5" i="3"/>
  <c r="CA14" i="3"/>
  <c r="CA8" i="3"/>
  <c r="CA4" i="3"/>
  <c r="CA7" i="3"/>
  <c r="CA6" i="3"/>
  <c r="CA3" i="3"/>
  <c r="CA13" i="3"/>
  <c r="CA10" i="3"/>
  <c r="CA11" i="3"/>
  <c r="BD2" i="13" a="1"/>
  <c r="BD2" i="13" s="1"/>
  <c r="BE1" i="13"/>
  <c r="B44" i="15"/>
  <c r="L61" i="15"/>
  <c r="E61" i="15"/>
  <c r="G61" i="15"/>
  <c r="I61" i="15"/>
  <c r="D61" i="15"/>
  <c r="N61" i="15"/>
  <c r="M61" i="15"/>
  <c r="H61" i="15"/>
  <c r="K61" i="15"/>
  <c r="F61" i="15"/>
  <c r="C61" i="15"/>
  <c r="J61" i="15"/>
  <c r="P47" i="15"/>
  <c r="B45" i="15"/>
  <c r="P44" i="15"/>
  <c r="P46" i="15"/>
  <c r="B46" i="15"/>
  <c r="P48" i="15"/>
  <c r="P45" i="15"/>
  <c r="B47" i="15"/>
  <c r="P49" i="15"/>
  <c r="B48" i="15"/>
  <c r="B43" i="15"/>
  <c r="B49" i="15"/>
  <c r="P43" i="15"/>
  <c r="B60" i="15"/>
  <c r="P60" i="15"/>
  <c r="B57" i="15"/>
  <c r="P57" i="15"/>
  <c r="B59" i="15"/>
  <c r="P59" i="15"/>
  <c r="B56" i="15"/>
  <c r="P56" i="15"/>
  <c r="B58" i="15" l="1"/>
  <c r="P58" i="15"/>
  <c r="BE2" i="13" a="1"/>
  <c r="BE2" i="13" s="1"/>
  <c r="BF1" i="13"/>
  <c r="BF2" i="13" s="1" a="1"/>
  <c r="BF2" i="13" s="1"/>
  <c r="P61" i="15"/>
  <c r="B61" i="15"/>
  <c r="AH28" i="21"/>
  <c r="B3" i="20"/>
  <c r="B13" i="18"/>
  <c r="C36" i="15" a="1"/>
  <c r="BC3" i="3" l="1" a="1"/>
  <c r="BC3" i="3" s="1"/>
  <c r="B3" i="3" s="1"/>
  <c r="C36" i="15"/>
  <c r="B4" i="20"/>
  <c r="B6" i="20"/>
  <c r="B7" i="20"/>
  <c r="B14" i="20"/>
  <c r="O21" i="2" a="1"/>
  <c r="E36" i="15" a="1"/>
  <c r="P21" i="2" a="1"/>
  <c r="F36" i="15" a="1"/>
  <c r="G36" i="15" a="1"/>
  <c r="D36" i="15" a="1"/>
  <c r="N21" i="2" a="1"/>
  <c r="N36" i="15" a="1"/>
  <c r="I36" i="15" a="1"/>
  <c r="BC9" i="3" l="1" a="1"/>
  <c r="BC9" i="3" s="1"/>
  <c r="B9" i="3" s="1"/>
  <c r="B9" i="20"/>
  <c r="BC5" i="3" a="1"/>
  <c r="BC5" i="3" s="1"/>
  <c r="B5" i="3" s="1"/>
  <c r="B5" i="20"/>
  <c r="N36" i="15"/>
  <c r="N62" i="15" s="1"/>
  <c r="G36" i="15"/>
  <c r="G62" i="15" s="1"/>
  <c r="F36" i="15"/>
  <c r="F62" i="15" s="1"/>
  <c r="D36" i="15"/>
  <c r="D62" i="15" s="1"/>
  <c r="E36" i="15"/>
  <c r="E62" i="15" s="1"/>
  <c r="I36" i="15"/>
  <c r="I62" i="15" s="1"/>
  <c r="C62" i="15"/>
  <c r="BC6" i="3" a="1"/>
  <c r="BC6" i="3" s="1"/>
  <c r="B6" i="3" s="1"/>
  <c r="P21" i="2"/>
  <c r="P58" i="2" s="1"/>
  <c r="N21" i="2"/>
  <c r="N58" i="2" s="1"/>
  <c r="O21" i="2"/>
  <c r="O58" i="2" s="1"/>
  <c r="BC4" i="3" a="1"/>
  <c r="BC4" i="3" s="1"/>
  <c r="B4" i="3" s="1"/>
  <c r="B10" i="20"/>
  <c r="B11" i="20"/>
  <c r="B12" i="20"/>
  <c r="B13" i="20"/>
  <c r="H36" i="15" a="1"/>
  <c r="M36" i="15" a="1"/>
  <c r="L21" i="2" a="1"/>
  <c r="L36" i="15" a="1"/>
  <c r="BC14" i="3" a="1"/>
  <c r="K36" i="15" a="1"/>
  <c r="M21" i="2" a="1"/>
  <c r="J36" i="15" a="1"/>
  <c r="BC11" i="3" a="1"/>
  <c r="BC7" i="3" a="1"/>
  <c r="K21" i="2" a="1"/>
  <c r="BC7" i="3" l="1"/>
  <c r="B7" i="3" s="1"/>
  <c r="BC8" i="3" a="1"/>
  <c r="BC8" i="3" s="1"/>
  <c r="B8" i="3" s="1"/>
  <c r="B8" i="20"/>
  <c r="L21" i="2"/>
  <c r="L58" i="2" s="1"/>
  <c r="M21" i="2"/>
  <c r="M58" i="2" s="1"/>
  <c r="L36" i="15"/>
  <c r="L62" i="15" s="1"/>
  <c r="K36" i="15"/>
  <c r="K62" i="15" s="1"/>
  <c r="H36" i="15"/>
  <c r="H62" i="15" s="1"/>
  <c r="M36" i="15"/>
  <c r="M62" i="15" s="1"/>
  <c r="J36" i="15"/>
  <c r="J62" i="15" s="1"/>
  <c r="BC11" i="3"/>
  <c r="B11" i="3" s="1"/>
  <c r="AG27" i="20"/>
  <c r="BC14" i="3"/>
  <c r="B14" i="3" s="1"/>
  <c r="K21" i="2"/>
  <c r="BC10" i="3" a="1"/>
  <c r="BC12" i="3" a="1"/>
  <c r="BC13" i="3" a="1"/>
  <c r="BC10" i="3" l="1"/>
  <c r="B10" i="3" s="1"/>
  <c r="B36" i="15"/>
  <c r="BC13" i="3"/>
  <c r="B13" i="3" s="1"/>
  <c r="BC12" i="3"/>
  <c r="B12" i="3" s="1"/>
  <c r="P36" i="15"/>
  <c r="K58" i="2"/>
  <c r="I2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tc={87D1AB39-E882-4AEE-A8C8-7665AD7BA19E}</author>
  </authors>
  <commentList>
    <comment ref="B77" authorId="0" shapeId="0" xr:uid="{87D1AB39-E882-4AEE-A8C8-7665AD7BA19E}">
      <text>
        <t>[Threaded comment]
Your version of Excel allows you to read this threaded comment; however, any edits to it will get removed if the file is opened in a newer version of Excel. Learn more: https://go.microsoft.com/fwlink/?linkid=870924
Comment:
    Hunting Lodge became Trail Camp for 2024</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<sst xmlns="http://schemas.openxmlformats.org/spreadsheetml/2006/main" count="2851" uniqueCount="637">
  <si>
    <t>Description:</t>
  </si>
  <si>
    <t>Itinerary</t>
  </si>
  <si>
    <t>Difficulty</t>
  </si>
  <si>
    <t>Trail Camps</t>
  </si>
  <si>
    <t>Dry Camps</t>
  </si>
  <si>
    <t>Total Camps</t>
  </si>
  <si>
    <t>Area</t>
  </si>
  <si>
    <t>Tooth of Time</t>
  </si>
  <si>
    <t>y</t>
  </si>
  <si>
    <t>R</t>
  </si>
  <si>
    <t>Valle Vidal</t>
  </si>
  <si>
    <t>South</t>
  </si>
  <si>
    <t>North</t>
  </si>
  <si>
    <t>Central</t>
  </si>
  <si>
    <t>S</t>
  </si>
  <si>
    <t>SS</t>
  </si>
  <si>
    <t>Distance</t>
  </si>
  <si>
    <t>Choice</t>
  </si>
  <si>
    <t>Value</t>
  </si>
  <si>
    <t>Calculate Individual Values Based on Tables &amp; Scores</t>
  </si>
  <si>
    <t>Ranking</t>
  </si>
  <si>
    <t>Code</t>
  </si>
  <si>
    <t>Median</t>
  </si>
  <si>
    <t>Category</t>
  </si>
  <si>
    <t>n</t>
  </si>
  <si>
    <t>Index</t>
  </si>
  <si>
    <t>Total</t>
  </si>
  <si>
    <t>Row</t>
  </si>
  <si>
    <t>Philmont Trek Itinerary Selection</t>
  </si>
  <si>
    <t>Skill</t>
  </si>
  <si>
    <t>Match skill level with itinerary difficulty</t>
  </si>
  <si>
    <t>Staffed Camps</t>
  </si>
  <si>
    <t>Trail Peak</t>
  </si>
  <si>
    <t>Rugged</t>
  </si>
  <si>
    <t>Strenuous</t>
  </si>
  <si>
    <t>Super Strenuous</t>
  </si>
  <si>
    <t>Questions or suggestions regarding this spreadsheet may be e-mailed to the author Sid Covington at sid_c@swbell.net</t>
  </si>
  <si>
    <t xml:space="preserve"> </t>
  </si>
  <si>
    <t>CAMP NAME</t>
  </si>
  <si>
    <t>Fish Camp</t>
  </si>
  <si>
    <t>Head of Dean</t>
  </si>
  <si>
    <t>Hunting Lodge</t>
  </si>
  <si>
    <t>McCrystal Creek</t>
  </si>
  <si>
    <t>Old Camp</t>
  </si>
  <si>
    <t>Phillips Junction</t>
  </si>
  <si>
    <t>Pueblano Ruins</t>
  </si>
  <si>
    <t>Rich Cabins</t>
  </si>
  <si>
    <t>Ring Place</t>
  </si>
  <si>
    <t>Seally Canyon</t>
  </si>
  <si>
    <t>Six Mile Gate</t>
  </si>
  <si>
    <t>Upper Clarks Fork</t>
  </si>
  <si>
    <t>Whiteman Vega</t>
  </si>
  <si>
    <t>Window Rock</t>
  </si>
  <si>
    <t xml:space="preserve">ELEVATION </t>
  </si>
  <si>
    <t>Aguila</t>
  </si>
  <si>
    <t>Anasazi</t>
  </si>
  <si>
    <t>Apache Springs</t>
  </si>
  <si>
    <t>Aspen Springs</t>
  </si>
  <si>
    <t>Backache Springs</t>
  </si>
  <si>
    <t>Baldy Skyline</t>
  </si>
  <si>
    <t>Baldy Town</t>
  </si>
  <si>
    <t>Base</t>
  </si>
  <si>
    <t>Bear Canyon</t>
  </si>
  <si>
    <t>Beaubien</t>
  </si>
  <si>
    <t>Bent</t>
  </si>
  <si>
    <t>Black Horse</t>
  </si>
  <si>
    <t>Black Mountain</t>
  </si>
  <si>
    <t>Bonita Cow</t>
  </si>
  <si>
    <t>Buck Creek</t>
  </si>
  <si>
    <t>Cathedral Rock</t>
  </si>
  <si>
    <t>Cimarron River</t>
  </si>
  <si>
    <t>Cimarroncito</t>
  </si>
  <si>
    <t>Clarks Fork</t>
  </si>
  <si>
    <t>Clear Creek</t>
  </si>
  <si>
    <t>Cook Canyon</t>
  </si>
  <si>
    <t>Copper Park</t>
  </si>
  <si>
    <t>Crater Lake</t>
  </si>
  <si>
    <t>Crooked Creek</t>
  </si>
  <si>
    <t>Cyphers Mine</t>
  </si>
  <si>
    <t>Dan Beard</t>
  </si>
  <si>
    <t>Dean Cow</t>
  </si>
  <si>
    <t>Elkhorn</t>
  </si>
  <si>
    <t>Ewells Park</t>
  </si>
  <si>
    <t>Flume Canyon</t>
  </si>
  <si>
    <t>French Henry</t>
  </si>
  <si>
    <t>Harlan</t>
  </si>
  <si>
    <t>Indian Writings</t>
  </si>
  <si>
    <t>Lovers Leap</t>
  </si>
  <si>
    <t>Lower Sawmill</t>
  </si>
  <si>
    <t>McBride Canyon</t>
  </si>
  <si>
    <t>Miners Park</t>
  </si>
  <si>
    <t>Miranda</t>
  </si>
  <si>
    <t>New Dean</t>
  </si>
  <si>
    <t>Old Abreu</t>
  </si>
  <si>
    <t>Ponil</t>
  </si>
  <si>
    <t>Porcupine</t>
  </si>
  <si>
    <t>Pueblano</t>
  </si>
  <si>
    <t>Rayado</t>
  </si>
  <si>
    <t>Rayado River</t>
  </si>
  <si>
    <t>Red Hills</t>
  </si>
  <si>
    <t>Rimrock Park</t>
  </si>
  <si>
    <t>Santa Claus</t>
  </si>
  <si>
    <t>Sawmill</t>
  </si>
  <si>
    <t>Shaefers Pass</t>
  </si>
  <si>
    <t>Sioux</t>
  </si>
  <si>
    <t>Stockade</t>
  </si>
  <si>
    <t>Thunder Ridge</t>
  </si>
  <si>
    <t>Tooth Ridge</t>
  </si>
  <si>
    <t>Turkey Creek</t>
  </si>
  <si>
    <t>Upper Dean Cow</t>
  </si>
  <si>
    <t>Urraca</t>
  </si>
  <si>
    <t>Ute Meadows</t>
  </si>
  <si>
    <t>Ute Springs</t>
  </si>
  <si>
    <t>Vaca</t>
  </si>
  <si>
    <t>Visto Grande</t>
  </si>
  <si>
    <t>Wild Horse</t>
  </si>
  <si>
    <t>Zastrow</t>
  </si>
  <si>
    <t>Day 2</t>
  </si>
  <si>
    <t>Day 3</t>
  </si>
  <si>
    <t>Day 4</t>
  </si>
  <si>
    <t>Day 5</t>
  </si>
  <si>
    <t>Day 6</t>
  </si>
  <si>
    <t>Day 7</t>
  </si>
  <si>
    <t>Day 8</t>
  </si>
  <si>
    <t>Day 9</t>
  </si>
  <si>
    <t>Day 10</t>
  </si>
  <si>
    <t>Day 11</t>
  </si>
  <si>
    <t>Deer Lake Mesa</t>
  </si>
  <si>
    <t>Abreu</t>
  </si>
  <si>
    <t>Bear Caves</t>
  </si>
  <si>
    <t>Greenwood Canyon</t>
  </si>
  <si>
    <t>Iris Park</t>
  </si>
  <si>
    <t>Ponderosa Park</t>
  </si>
  <si>
    <t>Lamberts Mine</t>
  </si>
  <si>
    <t>Olympia</t>
  </si>
  <si>
    <t>Agua Fria</t>
  </si>
  <si>
    <t>Toothache Springs</t>
  </si>
  <si>
    <t>Upper Bench</t>
  </si>
  <si>
    <t>Dean Cutoff</t>
  </si>
  <si>
    <t>Cottonwood</t>
  </si>
  <si>
    <t>2 :: 3</t>
  </si>
  <si>
    <t>3 :: 4</t>
  </si>
  <si>
    <t>4 :: 5</t>
  </si>
  <si>
    <t>5 :: 6</t>
  </si>
  <si>
    <t>6 :: 7</t>
  </si>
  <si>
    <t>7 :: 8</t>
  </si>
  <si>
    <t>8 :: 9</t>
  </si>
  <si>
    <t>9 :: 10</t>
  </si>
  <si>
    <t>10 :: 11</t>
  </si>
  <si>
    <t>Change</t>
  </si>
  <si>
    <t>Altitude Factors:</t>
  </si>
  <si>
    <t xml:space="preserve">     Average daily change:</t>
  </si>
  <si>
    <t xml:space="preserve">   Factor:</t>
  </si>
  <si>
    <t>Include?</t>
  </si>
  <si>
    <t xml:space="preserve">    South Country</t>
  </si>
  <si>
    <t xml:space="preserve">    Central Country</t>
  </si>
  <si>
    <t xml:space="preserve">    Valle Vidal</t>
  </si>
  <si>
    <t xml:space="preserve">    Capability</t>
  </si>
  <si>
    <t>Itinerary Information</t>
  </si>
  <si>
    <t>Itinerary Number:</t>
  </si>
  <si>
    <t>Peaks:</t>
  </si>
  <si>
    <t>Programs:</t>
  </si>
  <si>
    <t>Day</t>
  </si>
  <si>
    <t>Elevation</t>
  </si>
  <si>
    <t>Top Itinerary/Program Cross Reference</t>
  </si>
  <si>
    <t>Pgm Index</t>
  </si>
  <si>
    <t># X's</t>
  </si>
  <si>
    <t>Country</t>
  </si>
  <si>
    <t>C</t>
  </si>
  <si>
    <t>Y</t>
  </si>
  <si>
    <t>Cross US-64</t>
  </si>
  <si>
    <t>Staffed</t>
  </si>
  <si>
    <t>North Fork Urraca</t>
  </si>
  <si>
    <t>Challenging</t>
  </si>
  <si>
    <t>Carson Meadows</t>
  </si>
  <si>
    <t>Lower Bonito</t>
  </si>
  <si>
    <t>Crags</t>
  </si>
  <si>
    <t>Commissary</t>
  </si>
  <si>
    <t>Trading Post</t>
  </si>
  <si>
    <t>Dry Camp</t>
  </si>
  <si>
    <t>Showers</t>
  </si>
  <si>
    <t>Trail Camp</t>
  </si>
  <si>
    <t>House Canyon</t>
  </si>
  <si>
    <t>Date:</t>
  </si>
  <si>
    <t>maxSkill:</t>
  </si>
  <si>
    <t>maxDifficult:</t>
  </si>
  <si>
    <t>minDifficult:</t>
  </si>
  <si>
    <t>Type</t>
  </si>
  <si>
    <t>T</t>
  </si>
  <si>
    <t>D</t>
  </si>
  <si>
    <t>X</t>
  </si>
  <si>
    <t>Trail</t>
  </si>
  <si>
    <t>Dry</t>
  </si>
  <si>
    <t>No  Camping</t>
  </si>
  <si>
    <t>Philmont is divided into four areas.  Is it important to you</t>
  </si>
  <si>
    <t>which area you go to?</t>
  </si>
  <si>
    <t>Area(s):</t>
  </si>
  <si>
    <t>(from Preferences)</t>
  </si>
  <si>
    <t>These are used for code lookup puposes only.</t>
  </si>
  <si>
    <t>Staffed Camp</t>
  </si>
  <si>
    <t># Programs</t>
  </si>
  <si>
    <t>Deer Lake</t>
  </si>
  <si>
    <t>Webster Parks</t>
  </si>
  <si>
    <t>Comanche Peak</t>
  </si>
  <si>
    <t>Upper Sawmill</t>
  </si>
  <si>
    <t>Lookout Meadow</t>
  </si>
  <si>
    <t>Maxwell</t>
  </si>
  <si>
    <t>Upper Greenwood</t>
  </si>
  <si>
    <t>Beatty Lakes</t>
  </si>
  <si>
    <t>Black Jacks</t>
  </si>
  <si>
    <t>Northing</t>
  </si>
  <si>
    <t>Easting</t>
  </si>
  <si>
    <t>campMap</t>
  </si>
  <si>
    <t>Webster Lake</t>
  </si>
  <si>
    <t>This sheet provides more detailed information about this spreadsheet and may be useful for anyone wishing to modify it.</t>
  </si>
  <si>
    <t>There are a number of "tabs" or "worksheets".  The use of these is as follows:</t>
  </si>
  <si>
    <t>Visible:</t>
  </si>
  <si>
    <t xml:space="preserve">  Instructions</t>
  </si>
  <si>
    <t xml:space="preserve">  Preferences</t>
  </si>
  <si>
    <t xml:space="preserve">  Results</t>
  </si>
  <si>
    <t xml:space="preserve">  Itinerary Details</t>
  </si>
  <si>
    <t xml:space="preserve">  Tables</t>
  </si>
  <si>
    <t xml:space="preserve">  Itineraries</t>
  </si>
  <si>
    <t xml:space="preserve">  Calculator</t>
  </si>
  <si>
    <t xml:space="preserve">  Camp Elevations</t>
  </si>
  <si>
    <t xml:space="preserve">  Descriptions</t>
  </si>
  <si>
    <t xml:space="preserve">  Camp Programs</t>
  </si>
  <si>
    <t>General use instructions for the user that does not want to make any changes to the spreadsheet.</t>
  </si>
  <si>
    <t>A set of "preferences" that may be used to adjust the calculations based on information specific to the crew.</t>
  </si>
  <si>
    <t xml:space="preserve">  Scores</t>
  </si>
  <si>
    <t>The "scores" for each crewmember from the program survey form.  These are on the basis of 0 to 20.</t>
  </si>
  <si>
    <t>The calculated "result" from fitting the "scores" to the itinerary information.</t>
  </si>
  <si>
    <t>This is a graph showing what programs the crewmembers wish to participate in.</t>
  </si>
  <si>
    <t>This provides a snapshot of individual itineraries.  Enter the itinerary the snapship is desired for.</t>
  </si>
  <si>
    <t>This is the set of "factors" for each of the various metrics.  These may be modified by the user.</t>
  </si>
  <si>
    <t>This worksheet.</t>
  </si>
  <si>
    <r>
      <t xml:space="preserve">Hidden:  </t>
    </r>
    <r>
      <rPr>
        <i/>
        <sz val="10"/>
        <rFont val="Arial"/>
        <family val="2"/>
      </rPr>
      <t>(Note that there are no passwords on these, the user may "unhide" them by right-clicking in the tab area)</t>
    </r>
  </si>
  <si>
    <t>Clicking the "Clear Scores" button erases all scores for all 12 participants.  User should enter the participant names in row 1.</t>
  </si>
  <si>
    <t>Enter the itinerary number and expedition number to get information about the itinerary including daily information.</t>
  </si>
  <si>
    <t>This calculates a preference value for each of the metrics.  There is nothing to modify here — the value calculated will be based on values from other worksheets and any modification desired to any metric should be made in those underlying sheets, not in this one.</t>
  </si>
  <si>
    <t>This is a table of staffed camps with flags for the programs offered at each.  It is used to provide much of the program inclusion information in the Itineries worksheet.</t>
  </si>
  <si>
    <t xml:space="preserve">  Detail Information</t>
  </si>
  <si>
    <t>Map(s):</t>
  </si>
  <si>
    <t>Comanche Creek</t>
  </si>
  <si>
    <t/>
  </si>
  <si>
    <t>Campos Heck</t>
  </si>
  <si>
    <t>Slate Hill Heck</t>
  </si>
  <si>
    <t>Dean Heck</t>
  </si>
  <si>
    <t>Information in the Visible tabs is generally either documented in the worksheet or is self-evident.  Information about the worksheets that may be useful is below.</t>
  </si>
  <si>
    <t>Lost Gap</t>
  </si>
  <si>
    <t>Martinez Springs</t>
  </si>
  <si>
    <t>Trail Canyon</t>
  </si>
  <si>
    <t>Kit Carson</t>
  </si>
  <si>
    <t>Line Camp</t>
  </si>
  <si>
    <t>RMSC</t>
  </si>
  <si>
    <t>Rock Springs</t>
  </si>
  <si>
    <t>Ute Gulch</t>
  </si>
  <si>
    <t>Ute Park Pass</t>
  </si>
  <si>
    <t>Demonstration Forest</t>
  </si>
  <si>
    <t>Classification:</t>
  </si>
  <si>
    <t>Distance:</t>
  </si>
  <si>
    <t>Return via Tooth:</t>
  </si>
  <si>
    <t>Stockade Ridge</t>
  </si>
  <si>
    <t>Middle Ponil</t>
  </si>
  <si>
    <t>Chase Canyon</t>
  </si>
  <si>
    <t>Horse Canyon</t>
  </si>
  <si>
    <t>Little Costilla</t>
  </si>
  <si>
    <t>Metcalf Station</t>
  </si>
  <si>
    <t>Pinyon Flats</t>
  </si>
  <si>
    <t>BASE</t>
  </si>
  <si>
    <t>CAMP</t>
  </si>
  <si>
    <t>Date</t>
  </si>
  <si>
    <t>Direction</t>
  </si>
  <si>
    <t>Map</t>
  </si>
  <si>
    <t>PREFERENCES:</t>
  </si>
  <si>
    <t>Capability:</t>
  </si>
  <si>
    <t>Total elevation?</t>
  </si>
  <si>
    <t>Daily change?</t>
  </si>
  <si>
    <t>Max Altitude?</t>
  </si>
  <si>
    <t>Area Important?</t>
  </si>
  <si>
    <t xml:space="preserve">      South:</t>
  </si>
  <si>
    <t xml:space="preserve">      Central:</t>
  </si>
  <si>
    <t xml:space="preserve">      North:</t>
  </si>
  <si>
    <t xml:space="preserve">      Valle Vidal:</t>
  </si>
  <si>
    <t>programFactor</t>
  </si>
  <si>
    <t xml:space="preserve">  Programs more important?</t>
  </si>
  <si>
    <t>Hells Fire Canyon</t>
  </si>
  <si>
    <t>Hawkeye</t>
  </si>
  <si>
    <t>Low Impact Camping</t>
  </si>
  <si>
    <t>Chase Ranch</t>
  </si>
  <si>
    <t>Shuree Cabin</t>
  </si>
  <si>
    <t>Whistle Punk</t>
  </si>
  <si>
    <t xml:space="preserve">  itineraryXrefChart</t>
  </si>
  <si>
    <t>Programs?</t>
  </si>
  <si>
    <t>Rayado Ridge</t>
  </si>
  <si>
    <t>Shuree Lodge</t>
  </si>
  <si>
    <t>Minnette Meadows</t>
  </si>
  <si>
    <t>Mount Phillips</t>
  </si>
  <si>
    <t>Devil's Wash Basin</t>
  </si>
  <si>
    <t>Garcia Cow</t>
  </si>
  <si>
    <t>Arrowhead</t>
  </si>
  <si>
    <t>American Creek</t>
  </si>
  <si>
    <t>Chase Cow</t>
  </si>
  <si>
    <t>Tolby Headwaters</t>
  </si>
  <si>
    <t>Daves Lake</t>
  </si>
  <si>
    <t>Saladon</t>
  </si>
  <si>
    <t>Little Twin</t>
  </si>
  <si>
    <t>Lovato</t>
  </si>
  <si>
    <t>Dean Skyline</t>
  </si>
  <si>
    <t>Wild Horse Park</t>
  </si>
  <si>
    <t>North Ponil</t>
  </si>
  <si>
    <t>Added</t>
  </si>
  <si>
    <t>ITINERARY NUMBERS:</t>
  </si>
  <si>
    <t>Hiking Difficulty</t>
  </si>
  <si>
    <t>Distance (Approximately)</t>
  </si>
  <si>
    <t>Maps</t>
  </si>
  <si>
    <t>Region</t>
  </si>
  <si>
    <t>Peaks</t>
  </si>
  <si>
    <t>Layovers</t>
  </si>
  <si>
    <t>Min Altitude</t>
  </si>
  <si>
    <t>Max Altitude</t>
  </si>
  <si>
    <t>Average Daily Change</t>
  </si>
  <si>
    <t xml:space="preserve">  Itinerary Xref Chart</t>
  </si>
  <si>
    <t xml:space="preserve">  Itinerary Chart</t>
  </si>
  <si>
    <t>Graph of sorted itineraries — shows relative differences between selections</t>
  </si>
  <si>
    <t xml:space="preserve">     Revision History:</t>
  </si>
  <si>
    <t>Total Gain</t>
  </si>
  <si>
    <t>Daily Change</t>
  </si>
  <si>
    <t>Herradura</t>
  </si>
  <si>
    <t>Divide</t>
  </si>
  <si>
    <t>Rabbit Ear</t>
  </si>
  <si>
    <t>Classification</t>
  </si>
  <si>
    <t>UTM Coordinates</t>
  </si>
  <si>
    <t>Mode</t>
  </si>
  <si>
    <t>Webster</t>
  </si>
  <si>
    <t xml:space="preserve">  Program Chart</t>
  </si>
  <si>
    <t>Check</t>
  </si>
  <si>
    <r>
      <rPr>
        <b/>
        <sz val="10"/>
        <color theme="1" tint="0.499984740745262"/>
        <rFont val="Arial"/>
        <family val="2"/>
      </rPr>
      <t>Note:</t>
    </r>
    <r>
      <rPr>
        <sz val="10"/>
        <color theme="1" tint="0.499984740745262"/>
        <rFont val="Arial"/>
        <family val="2"/>
      </rPr>
      <t xml:space="preserve">  Use Ctrl-F1 to show/hide the Excel ribbon</t>
    </r>
  </si>
  <si>
    <t>revision</t>
  </si>
  <si>
    <t>trekYear</t>
  </si>
  <si>
    <t>nDays</t>
  </si>
  <si>
    <t>nItineraries</t>
  </si>
  <si>
    <t>itineraryNoPrefix</t>
  </si>
  <si>
    <t>Custom Properties</t>
  </si>
  <si>
    <t>Min/Max nCamps</t>
  </si>
  <si>
    <t>Altitude factors may be included or excluded from the calculations.  There are three different factors in the calculation that relate to altitude.</t>
  </si>
  <si>
    <t>Include Itineraries with an Itinerary Rating of:</t>
  </si>
  <si>
    <t>How much more important are programs than the other factors such as distance, country, altitude, Tooth of Time, etc. in your selection of an itinerary?  Enter y if programs are more important, n if should be treated as lower priority than other factors.</t>
  </si>
  <si>
    <t>Black Horse Mine</t>
  </si>
  <si>
    <t>Touch-Me-Not Creek</t>
  </si>
  <si>
    <t>Hike In</t>
  </si>
  <si>
    <t>Mistletoe</t>
  </si>
  <si>
    <t>Heck Meadow</t>
  </si>
  <si>
    <t>Bear Creek</t>
  </si>
  <si>
    <t>Azurite</t>
  </si>
  <si>
    <t>Black Horse Creek</t>
  </si>
  <si>
    <t>Line</t>
  </si>
  <si>
    <t>Magpie</t>
  </si>
  <si>
    <t>Cimarroncita</t>
  </si>
  <si>
    <t>Ringtail</t>
  </si>
  <si>
    <t>Expedition Number:</t>
  </si>
  <si>
    <t>Renamed from Bear Canyon</t>
  </si>
  <si>
    <t>Renamed from Black Horse</t>
  </si>
  <si>
    <t>North &amp; South</t>
  </si>
  <si>
    <r>
      <t xml:space="preserve">NOTE:  Coordinates/elevations  from 2017 Philmont's </t>
    </r>
    <r>
      <rPr>
        <b/>
        <u/>
        <sz val="11"/>
        <color theme="1"/>
        <rFont val="Calibri"/>
        <family val="2"/>
      </rPr>
      <t>2017 UTM.xlsm</t>
    </r>
    <r>
      <rPr>
        <b/>
        <sz val="11"/>
        <color theme="1"/>
        <rFont val="Calibri"/>
        <family val="2"/>
      </rPr>
      <t xml:space="preserve"> file.  These do not agree with Philmont's .kmz Google Earth file.</t>
    </r>
  </si>
  <si>
    <t>There are buttons that may be pressed to select the scoring to be used in the calculation.  These are "Total" for the total score, "Average" to select the average (or Mean) score, "Median" to select the most common score, or "Mode" (most frequently used score).  These control the actual score values used in calculation  Try all and see what the difference in the results is.</t>
  </si>
  <si>
    <t>This spreadsheet makes extensive use of "Protected" and "Hidden" cells and "Hidden"  worksheets.  To "unprotect" or "unhide" any of these, put the cursor on a worksheet tab and right click it.  Click "Unprotect Sheet..." and select the worksheet to display.  There are no passwords locking any of the "hidden" or "protected" areas.</t>
  </si>
  <si>
    <t>Camping HQ</t>
  </si>
  <si>
    <t>Same as BASE</t>
  </si>
  <si>
    <t>Length</t>
  </si>
  <si>
    <t>Elevation information shown here is based on beginning/ending campsite altitudes, not any peaks or side hikes.</t>
  </si>
  <si>
    <t>Starting:</t>
  </si>
  <si>
    <t>Ending:</t>
  </si>
  <si>
    <t>Hike Out</t>
  </si>
  <si>
    <r>
      <t>NAD 3/Zone 13</t>
    </r>
    <r>
      <rPr>
        <i/>
        <sz val="8"/>
        <color theme="1" tint="0.34998626667073579"/>
        <rFont val="Calibri"/>
        <family val="2"/>
        <scheme val="minor"/>
      </rPr>
      <t xml:space="preserve">
* Estimated coordinates</t>
    </r>
  </si>
  <si>
    <t>Food Pickup</t>
  </si>
  <si>
    <t>Max Food Days</t>
  </si>
  <si>
    <t>Max Days Food</t>
  </si>
  <si>
    <t>Days Food from Base</t>
  </si>
  <si>
    <t>Days to 1st Food PU</t>
  </si>
  <si>
    <t>Days Food</t>
  </si>
  <si>
    <t>Food from HQ</t>
  </si>
  <si>
    <t>Score Selected</t>
  </si>
  <si>
    <r>
      <t xml:space="preserve">If it is important, rank your preference in </t>
    </r>
    <r>
      <rPr>
        <b/>
        <sz val="10"/>
        <rFont val="Arial"/>
        <family val="2"/>
      </rPr>
      <t>1, 2, 3, 4</t>
    </r>
    <r>
      <rPr>
        <sz val="10"/>
        <rFont val="Arial"/>
        <family val="2"/>
      </rPr>
      <t xml:space="preserve"> order with</t>
    </r>
  </si>
  <si>
    <r>
      <t xml:space="preserve">  </t>
    </r>
    <r>
      <rPr>
        <b/>
        <sz val="10"/>
        <rFont val="Arial"/>
        <family val="2"/>
      </rPr>
      <t>1</t>
    </r>
    <r>
      <rPr>
        <sz val="10"/>
        <rFont val="Arial"/>
        <family val="2"/>
      </rPr>
      <t xml:space="preserve"> being the most preferred, </t>
    </r>
    <r>
      <rPr>
        <b/>
        <sz val="10"/>
        <rFont val="Arial"/>
        <family val="2"/>
      </rPr>
      <t>4</t>
    </r>
    <r>
      <rPr>
        <sz val="10"/>
        <rFont val="Arial"/>
        <family val="2"/>
      </rPr>
      <t xml:space="preserve"> being least.</t>
    </r>
  </si>
  <si>
    <r>
      <t>Rate the capability of your crew on a scale of</t>
    </r>
    <r>
      <rPr>
        <b/>
        <sz val="10"/>
        <rFont val="Arial"/>
        <family val="2"/>
      </rPr>
      <t xml:space="preserve"> 1</t>
    </r>
    <r>
      <rPr>
        <sz val="10"/>
        <rFont val="Arial"/>
        <family val="2"/>
      </rPr>
      <t xml:space="preserve"> to </t>
    </r>
    <r>
      <rPr>
        <b/>
        <sz val="10"/>
        <rFont val="Arial"/>
        <family val="2"/>
      </rPr>
      <t>10</t>
    </r>
    <r>
      <rPr>
        <sz val="10"/>
        <rFont val="Arial"/>
        <family val="2"/>
      </rPr>
      <t xml:space="preserve"> with</t>
    </r>
  </si>
  <si>
    <r>
      <rPr>
        <b/>
        <sz val="10"/>
        <rFont val="Arial"/>
        <family val="2"/>
      </rPr>
      <t>1</t>
    </r>
    <r>
      <rPr>
        <sz val="10"/>
        <rFont val="Arial"/>
        <family val="2"/>
      </rPr>
      <t xml:space="preserve"> indicating a young crew with little backpacking experience</t>
    </r>
  </si>
  <si>
    <r>
      <t xml:space="preserve">and </t>
    </r>
    <r>
      <rPr>
        <b/>
        <sz val="10"/>
        <rFont val="Arial"/>
        <family val="2"/>
      </rPr>
      <t>10</t>
    </r>
    <r>
      <rPr>
        <sz val="10"/>
        <rFont val="Arial"/>
        <family val="2"/>
      </rPr>
      <t xml:space="preserve"> indicating an older crew with a lot of experience.</t>
    </r>
  </si>
  <si>
    <r>
      <t xml:space="preserve">This is the same chart that's in the in the </t>
    </r>
    <r>
      <rPr>
        <i/>
        <sz val="10"/>
        <rFont val="Arial"/>
        <family val="2"/>
      </rPr>
      <t>TREKS</t>
    </r>
    <r>
      <rPr>
        <sz val="10"/>
        <rFont val="Arial"/>
        <family val="2"/>
      </rPr>
      <t xml:space="preserve"> book</t>
    </r>
  </si>
  <si>
    <t xml:space="preserve">     Highest camp elevation:</t>
  </si>
  <si>
    <t xml:space="preserve">     Trek camp elevation change:</t>
  </si>
  <si>
    <t>Initial/Max Days Food:</t>
  </si>
  <si>
    <t>Min/Max Altitude:</t>
  </si>
  <si>
    <t>Total Altitude Change:</t>
  </si>
  <si>
    <t>Daily Altitude Change:</t>
  </si>
  <si>
    <t>Staffed Camps:</t>
  </si>
  <si>
    <t>Trail Camps:</t>
  </si>
  <si>
    <t>Layovers:</t>
  </si>
  <si>
    <t>Program</t>
  </si>
  <si>
    <t>Ute Park</t>
  </si>
  <si>
    <t>Crewmember 2</t>
  </si>
  <si>
    <t>Crewmember 3</t>
  </si>
  <si>
    <t>Crewmember 4</t>
  </si>
  <si>
    <t>Crewmember 5</t>
  </si>
  <si>
    <t>Crewmember 6</t>
  </si>
  <si>
    <t>Crewmember 7</t>
  </si>
  <si>
    <t>Crewmember 8</t>
  </si>
  <si>
    <t>Crewmember 9</t>
  </si>
  <si>
    <t>Crewmember 10</t>
  </si>
  <si>
    <t>Crewmember 11</t>
  </si>
  <si>
    <t>Crewmember 12</t>
  </si>
  <si>
    <t>Bluestem</t>
  </si>
  <si>
    <t>Renamed from Line Camp</t>
  </si>
  <si>
    <t>Upper Webster Park</t>
  </si>
  <si>
    <t>Most itineraries depart Base Camp to the trailhead by bus.  There are some that hike out of Base Camp to the first camp.</t>
  </si>
  <si>
    <t>Is it important to hike out of Base Camp?</t>
  </si>
  <si>
    <t>Hike Out?</t>
  </si>
  <si>
    <t>Hike In/Tooth?</t>
  </si>
  <si>
    <t>Baldy Mountain</t>
  </si>
  <si>
    <t>Mountaineering</t>
  </si>
  <si>
    <t>#</t>
  </si>
  <si>
    <t>Crewmember 1</t>
  </si>
  <si>
    <t>Backcountry Camps by Itinerary Day</t>
  </si>
  <si>
    <t>Food Pickup's</t>
  </si>
  <si>
    <t>Camp Elevation</t>
  </si>
  <si>
    <t>Daily Elevation Change</t>
  </si>
  <si>
    <t>Start/End</t>
  </si>
  <si>
    <t>Cross At</t>
  </si>
  <si>
    <t>Food Pickup Info</t>
  </si>
  <si>
    <t>campType</t>
  </si>
  <si>
    <t>Multiply X Activity score for value to use</t>
  </si>
  <si>
    <t>This is applied to each score in the calculation. Use to make activities more/less important.</t>
  </si>
  <si>
    <t>Miles</t>
  </si>
  <si>
    <t>Is it important to hike into Base Camp?</t>
  </si>
  <si>
    <t>A key part of a Philmont Trek is climbing peaks.  Is it important to you to climb the following peaks?</t>
  </si>
  <si>
    <t>Baldy Peak</t>
  </si>
  <si>
    <t>Many itineraries return to Base Camp via bus but some hike in (not necessarily over the Tooth of Time).</t>
  </si>
  <si>
    <t>Set Crew preferences below</t>
  </si>
  <si>
    <t xml:space="preserve">    North Country</t>
  </si>
  <si>
    <t>Rank 1</t>
  </si>
  <si>
    <t>Rank 2</t>
  </si>
  <si>
    <t>Rank 3</t>
  </si>
  <si>
    <t>Rank 4</t>
  </si>
  <si>
    <t>Min</t>
  </si>
  <si>
    <t>Max</t>
  </si>
  <si>
    <t>Program:</t>
  </si>
  <si>
    <t>Average</t>
  </si>
  <si>
    <t xml:space="preserve">  Itinerary Camps</t>
  </si>
  <si>
    <t xml:space="preserve">  ItineraryPrograms</t>
  </si>
  <si>
    <t xml:space="preserve">  Programs</t>
  </si>
  <si>
    <t>Via Tooth</t>
  </si>
  <si>
    <t>Lost Cabins</t>
  </si>
  <si>
    <t>Placer</t>
  </si>
  <si>
    <t>Coyote Howl</t>
  </si>
  <si>
    <t>Ending Trailhead</t>
  </si>
  <si>
    <t>Starting Trailhead</t>
  </si>
  <si>
    <t>Mt Phillips</t>
  </si>
  <si>
    <t>Description</t>
  </si>
  <si>
    <t>N</t>
  </si>
  <si>
    <t>#4</t>
  </si>
  <si>
    <t>#5</t>
  </si>
  <si>
    <t>#6</t>
  </si>
  <si>
    <t>#2</t>
  </si>
  <si>
    <t>#1</t>
  </si>
  <si>
    <t>#3</t>
  </si>
  <si>
    <t>Campsite</t>
  </si>
  <si>
    <t>2023 Combined Upper &amp; Lower Webster Parks</t>
  </si>
  <si>
    <t>2023 Different spellings for same camp</t>
  </si>
  <si>
    <t>608-A</t>
  </si>
  <si>
    <r>
      <t>Others</t>
    </r>
    <r>
      <rPr>
        <b/>
        <i/>
        <sz val="8"/>
        <rFont val="Arial"/>
        <family val="2"/>
      </rPr>
      <t xml:space="preserve"> (Mountaineering)</t>
    </r>
  </si>
  <si>
    <t>These are the results of the "Scores" worksheet — from the scores entered from the Preference Survey worksheets.</t>
  </si>
  <si>
    <t>Peaks (Enter Manually)</t>
  </si>
  <si>
    <t>Itinerary Label</t>
  </si>
  <si>
    <r>
      <rPr>
        <b/>
        <sz val="9"/>
        <color rgb="FFFF0000"/>
        <rFont val="Arial"/>
        <family val="2"/>
      </rPr>
      <t>(Enter Red columns manually)</t>
    </r>
    <r>
      <rPr>
        <b/>
        <sz val="10"/>
        <rFont val="Arial"/>
        <family val="2"/>
      </rPr>
      <t xml:space="preserve">
Itinerary</t>
    </r>
  </si>
  <si>
    <r>
      <rPr>
        <sz val="10"/>
        <color rgb="FFFF0000"/>
        <rFont val="Arial"/>
        <family val="2"/>
      </rPr>
      <t xml:space="preserve">These are the programs available at camps.  Used to create the default programs for itineraries in itineraryPrograms worksheet.
</t>
    </r>
    <r>
      <rPr>
        <b/>
        <sz val="10"/>
        <rFont val="Arial"/>
        <family val="2"/>
      </rPr>
      <t xml:space="preserve">
</t>
    </r>
    <r>
      <rPr>
        <b/>
        <sz val="10"/>
        <rFont val="Arial"/>
        <family val="2"/>
      </rPr>
      <t>Staffed Camp</t>
    </r>
  </si>
  <si>
    <t>This is information relative to the current year's itineraries.  All is derived from tables in other worksheets.</t>
  </si>
  <si>
    <r>
      <t xml:space="preserve">Much information updated annually by hand from the </t>
    </r>
    <r>
      <rPr>
        <i/>
        <sz val="10"/>
        <rFont val="Arial"/>
        <family val="2"/>
      </rPr>
      <t>TREKS Book</t>
    </r>
    <r>
      <rPr>
        <sz val="10"/>
        <rFont val="Arial"/>
        <family val="2"/>
      </rPr>
      <t>.  Information relating to itineraries is calculated from these entries.</t>
    </r>
  </si>
  <si>
    <t>Programs available at camps.  This can be created automatically but must be checked &amp; updated manually.  Can verify with the Itinerary Xref Chart.  This takes a lot of detailed work!</t>
  </si>
  <si>
    <r>
      <t xml:space="preserve">This is the textual description of each itinerary.  This is manually copied from the </t>
    </r>
    <r>
      <rPr>
        <i/>
        <sz val="10"/>
        <rFont val="Arial"/>
        <family val="2"/>
      </rPr>
      <t>TREKS Book</t>
    </r>
    <r>
      <rPr>
        <sz val="10"/>
        <rFont val="Arial"/>
        <family val="2"/>
      </rPr>
      <t xml:space="preserve"> each year.</t>
    </r>
  </si>
  <si>
    <t>This brings the preferences, scores, factors from "Tables", and itinerary information together to calculate detailed preference values for each itinerary.  The sum of these is the "Result" for each itinerary.</t>
  </si>
  <si>
    <t>Table of Philmont's available programs.  These are specific to 12-Day (all), 9-Day (subset) and 7-Day (subset) treks.</t>
  </si>
  <si>
    <t>This is a table of programs available at each staffed camp. Verified manually, used to develop basic info for ItineraryPrograms worksheet.  Does not often change from year to year.</t>
  </si>
  <si>
    <t>This is information relative to Philmont's camps.  It is used in the calculations and in the Itinerary Details printout.  Is a good source of camp names &amp; UTM Coordinates/elevations.</t>
  </si>
  <si>
    <t xml:space="preserve">The left side shows the itineraries that best "fit" the crew's desires.  On the right is a table showing the programs the crew desired in preference order.  It indicates which programs are included in each of the top 6 itineraries. </t>
  </si>
  <si>
    <r>
      <t xml:space="preserve">If some of the areas are more important to your crew, you can change the factors used in the calculations here.  The factors are highlighted where arbitrary values were set based on the author's preferences, they may be modified to meet your crew.   Only make changes in the unlocked cells in the </t>
    </r>
    <r>
      <rPr>
        <b/>
        <sz val="10"/>
        <rFont val="Arial"/>
        <family val="2"/>
      </rPr>
      <t>Value</t>
    </r>
    <r>
      <rPr>
        <sz val="10"/>
        <rFont val="Arial"/>
        <family val="2"/>
      </rPr>
      <t xml:space="preserve"> column or the Green boxes for</t>
    </r>
    <r>
      <rPr>
        <b/>
        <sz val="10"/>
        <rFont val="Arial"/>
        <family val="2"/>
      </rPr>
      <t xml:space="preserve"> Area</t>
    </r>
    <r>
      <rPr>
        <sz val="10"/>
        <rFont val="Arial"/>
        <family val="2"/>
      </rPr>
      <t xml:space="preserve"> or </t>
    </r>
    <r>
      <rPr>
        <b/>
        <sz val="10"/>
        <rFont val="Arial"/>
        <family val="2"/>
      </rPr>
      <t>Skill/Difficulty</t>
    </r>
    <r>
      <rPr>
        <sz val="10"/>
        <rFont val="Arial"/>
        <family val="2"/>
      </rPr>
      <t>.  You may navigate between these with the TAB key.</t>
    </r>
  </si>
  <si>
    <r>
      <t xml:space="preserve">This sheet has information about the current year's itineraries.  Key information is manually updated from the </t>
    </r>
    <r>
      <rPr>
        <i/>
        <sz val="10"/>
        <rFont val="Arial"/>
        <family val="2"/>
      </rPr>
      <t>TREKS</t>
    </r>
    <r>
      <rPr>
        <sz val="10"/>
        <rFont val="Arial"/>
        <family val="2"/>
      </rPr>
      <t xml:space="preserve"> books (daily campsites, first food pickup day number, method of return to base, itineraries that cross US-64, peaks hiked, etc.)  Row 1 has the columns that must be updated annually highlighted in red.</t>
    </r>
  </si>
  <si>
    <t>Mountaineering includes itineraries that climb Big Red, Black Mountain, Bonito Peak, Comanche Peak, Hart Mountain, Little Costilla Peak, Lookout Peak, or Shaefers Peak.</t>
  </si>
  <si>
    <r>
      <t>This conforms to the Cross Reference chart in the</t>
    </r>
    <r>
      <rPr>
        <i/>
        <sz val="10"/>
        <rFont val="Arial"/>
        <family val="2"/>
      </rPr>
      <t xml:space="preserve"> TREKS</t>
    </r>
    <r>
      <rPr>
        <sz val="10"/>
        <rFont val="Arial"/>
        <family val="2"/>
      </rPr>
      <t xml:space="preserve"> book showing itineraries that have programs.  It is based on information in the Itinerary Programs worksheet.</t>
    </r>
  </si>
  <si>
    <t>This worksheet is a list of all the camps with details about the camp.  Note that some of the camps are not used and the information may not be complete for them.  It doesn't matter because only the camps included in the current year's itineraries is ever referenced.  All are shown here for completeness.   It is a good source of camp names &amp; UTM Coordinates/elevations.</t>
  </si>
  <si>
    <r>
      <t>These descriptions are copied from the</t>
    </r>
    <r>
      <rPr>
        <i/>
        <sz val="10"/>
        <rFont val="Arial"/>
        <family val="2"/>
      </rPr>
      <t xml:space="preserve"> TREKS Book</t>
    </r>
    <r>
      <rPr>
        <sz val="10"/>
        <rFont val="Arial"/>
        <family val="2"/>
      </rPr>
      <t xml:space="preserve"> and are displayed on the Itinerary Details display.</t>
    </r>
  </si>
  <si>
    <t>COPE Course</t>
  </si>
  <si>
    <t xml:space="preserve"># programs in itinerary:  </t>
  </si>
  <si>
    <t># times in 
Itineraries</t>
  </si>
  <si>
    <t>Climbing: Bouldering Gym</t>
  </si>
  <si>
    <t>Climbing: Climbing Wall/Tower</t>
  </si>
  <si>
    <t>Climbing: Crate Stacking</t>
  </si>
  <si>
    <t>Climbing: Rock Climbing</t>
  </si>
  <si>
    <t>COPE: High Challenge Course</t>
  </si>
  <si>
    <t>COPE: Initiative Games</t>
  </si>
  <si>
    <t>COPE: Low Challenge Course</t>
  </si>
  <si>
    <t>Ecology: Demonstration Forest</t>
  </si>
  <si>
    <t>Ecology: Self-Guided Fishing</t>
  </si>
  <si>
    <t>Evening: Advisor Coffee</t>
  </si>
  <si>
    <t>Evening: Campfire Show</t>
  </si>
  <si>
    <t>Evening: Chuckwagon Dinner</t>
  </si>
  <si>
    <t>Historical: Adobe Brick-Making</t>
  </si>
  <si>
    <t>Historical: Blacksmithing</t>
  </si>
  <si>
    <t>Historical: Cabin Restoration</t>
  </si>
  <si>
    <t>Historical: Cabin/House Tour</t>
  </si>
  <si>
    <t>Historical: Crafting</t>
  </si>
  <si>
    <t>Historical: Crosscut &amp; Tie Making</t>
  </si>
  <si>
    <t>Historical: Flint Knapping</t>
  </si>
  <si>
    <t>Historical: Fur Trapper Rendezvous</t>
  </si>
  <si>
    <t>Historical: Gold Panning</t>
  </si>
  <si>
    <t>Historical: Mine Tour</t>
  </si>
  <si>
    <t>Historical: Petroglyph Tour</t>
  </si>
  <si>
    <t>Historical: Pump Car Rides</t>
  </si>
  <si>
    <t>Historical: Railroad Construction</t>
  </si>
  <si>
    <t>Historical: Spar Pole Climbing</t>
  </si>
  <si>
    <t>Landmarks: Baldy Mountain</t>
  </si>
  <si>
    <t>Landmarks: Mount Phillips</t>
  </si>
  <si>
    <t>Landmarks: Tooth of Time</t>
  </si>
  <si>
    <t>Livestock: Animal Husbandry</t>
  </si>
  <si>
    <t>Livestock: Burro Packing</t>
  </si>
  <si>
    <t>Livestock: Chicken Tending</t>
  </si>
  <si>
    <t>Livestock: Horse Rides</t>
  </si>
  <si>
    <t>Range Sports: 3D Archery</t>
  </si>
  <si>
    <t>Range Sports: Aerial Archery</t>
  </si>
  <si>
    <t>Range Sports: Atlatl Throwing</t>
  </si>
  <si>
    <t>Range Sports: Cartridge Reloading</t>
  </si>
  <si>
    <t>Range Sports: Field Archery</t>
  </si>
  <si>
    <t>Range Sports: Rifle Shooting</t>
  </si>
  <si>
    <t>Range Sports: Shotgun Shooting</t>
  </si>
  <si>
    <t>Range Sports: Shotshell Reloading</t>
  </si>
  <si>
    <t>Range Sports: Tomahawk Throwing</t>
  </si>
  <si>
    <t>STEM: Archeology</t>
  </si>
  <si>
    <t>STEM: Astronomy</t>
  </si>
  <si>
    <t>STEM: Geology</t>
  </si>
  <si>
    <t>Western Lore: Branding</t>
  </si>
  <si>
    <t>Western Lore: Cantina</t>
  </si>
  <si>
    <t>Western Lore: Roping</t>
  </si>
  <si>
    <t>Landmarks: Trail Peak</t>
  </si>
  <si>
    <t>Landmarks: Mountaineering</t>
  </si>
  <si>
    <t>Big Red, Black Mountain, Comanche Peak, Hart Peak, Lookout Peak, Little Costilla</t>
  </si>
  <si>
    <t>Range Sports: Cowboy Action Shooting</t>
  </si>
  <si>
    <t>Range Sports: Muzzleloader Shooting</t>
  </si>
  <si>
    <t>Not used 2024, trail 2025</t>
  </si>
  <si>
    <t>Not staffed 2025</t>
  </si>
  <si>
    <t>2025_1-0</t>
  </si>
  <si>
    <t>Original 2025 Update</t>
  </si>
  <si>
    <t>2025</t>
  </si>
  <si>
    <t>Inspiration Point</t>
  </si>
  <si>
    <t>Landmarks: Inspiration Point</t>
  </si>
  <si>
    <t>Old Program Name/Comments</t>
  </si>
  <si>
    <t>Part of Rock Climbing &amp; Rappelling</t>
  </si>
  <si>
    <t>Was not listed as a program</t>
  </si>
  <si>
    <t>Chuckwagon Dinner</t>
  </si>
  <si>
    <t>Blacksmithing</t>
  </si>
  <si>
    <t>Petroglyph Tour</t>
  </si>
  <si>
    <t>Not listed as separate program - was included in Railroading</t>
  </si>
  <si>
    <t>Railroading</t>
  </si>
  <si>
    <t>Spar Pole Climbing</t>
  </si>
  <si>
    <t>Baldy Mountain Hike</t>
  </si>
  <si>
    <t>Inspiration Point Hike; In 2025 TREKS book as "Landmarks: Viewpoint Hike"</t>
  </si>
  <si>
    <t>Lodge/Cabin Tours</t>
  </si>
  <si>
    <t>Included in Homesteading</t>
  </si>
  <si>
    <t>Burro Packing</t>
  </si>
  <si>
    <t>Horse Rides</t>
  </si>
  <si>
    <t>Archery - 3 Dimensional</t>
  </si>
  <si>
    <t>Atlatl (Dart-Throwing)</t>
  </si>
  <si>
    <t>Not listed as separate program - was included in Shooting/Reloading - .30-06</t>
  </si>
  <si>
    <t>Cowboy Action Shooting</t>
  </si>
  <si>
    <t>Muzzle Loading Rifle</t>
  </si>
  <si>
    <t>Shooting/Reloading - .30-06</t>
  </si>
  <si>
    <t>Shotgun Shooting/Reloaing - 12 Gauge</t>
  </si>
  <si>
    <t>Not listed as separate program - was included in Shotgun Shooting/Reloaing - 12 Gauge</t>
  </si>
  <si>
    <t>Tomahawk Throwing</t>
  </si>
  <si>
    <t>Archaeology</t>
  </si>
  <si>
    <t>Astronomy</t>
  </si>
  <si>
    <t>Typically was part of Gold Mining &amp; Panning</t>
  </si>
  <si>
    <t>Western Lore/Branding</t>
  </si>
  <si>
    <t>Cantina</t>
  </si>
  <si>
    <t>Included in Western Lore/Branding</t>
  </si>
  <si>
    <t>Was not listed as a program - was included in itinerary descriptions</t>
  </si>
  <si>
    <t>Also known as "Sporting Arrows".  Available 2025 at Apache Springs &amp; Cimarroncita</t>
  </si>
  <si>
    <t>Also known as "3D Archery".  Available 2025 at Apache Springs &amp; Cimarroncita</t>
  </si>
  <si>
    <t>High Ropes &amp; Climbing Tower</t>
  </si>
  <si>
    <t>Challenge Events</t>
  </si>
  <si>
    <t>Campfire (evening)</t>
  </si>
  <si>
    <t>New Mexican Homestead</t>
  </si>
  <si>
    <t>Tie Making &amp; Crosscut Saws</t>
  </si>
  <si>
    <t>Jacarilla Apache Life</t>
  </si>
  <si>
    <t>Mountain Man Rendezvous / Fur Trapper Rendezvous (@ Miranda)</t>
  </si>
  <si>
    <t>Mine Tour</t>
  </si>
  <si>
    <t>Gold Mining &amp; Panning</t>
  </si>
  <si>
    <t>Post Civil War Encampment (Black Mountain Camp)</t>
  </si>
  <si>
    <t>Rocky Mountain Fur Company (Clear Creek Camp)</t>
  </si>
  <si>
    <t>Historic Chase Ranch — no longer offered</t>
  </si>
  <si>
    <t>Bouldering — was at Chase Cow Camp, no longer offered</t>
  </si>
  <si>
    <t>Hunter Safety — was at Cimarroncita, no longer offered</t>
  </si>
  <si>
    <t>Laser Shot Shooting Range — was at Cimarroncita, no longer offered</t>
  </si>
  <si>
    <t>Programs available in prior years not listed and/or not available in 2025</t>
  </si>
  <si>
    <t>Part of Rock Climbing &amp; Rappelling (Miners Park only)</t>
  </si>
  <si>
    <t>Rock Climbing &amp; Rappelling</t>
  </si>
  <si>
    <t>Fishing (used to include Fly Tying @ Fish Camp but not available in 2025 due to Fish Camp restoration</t>
  </si>
  <si>
    <t>Was not a program prior to 2025</t>
  </si>
  <si>
    <t>Kit Carson/Rayado Rancho — offered as separate visit outside of trek</t>
  </si>
  <si>
    <t>Search &amp; Rescue/Wilderness Medicine (Carson Meadows &amp; various Valle Vidal camps in priors years) — no longer offered</t>
  </si>
  <si>
    <t>Mt. Phillips</t>
  </si>
  <si>
    <t>Program (by Popularity)</t>
  </si>
  <si>
    <t>Philmont 2025 Itineraries - 9 Day Treks</t>
  </si>
  <si>
    <t>9-</t>
  </si>
  <si>
    <t>This program-focused itinerary visits many of the staffed camps located in Philmont's South Country while exploring this region's beautiful meadows, riverways, and mesas. Plenty of time is provided for exploring all of the activities offered at each camp or for exploring side hikes to nearby peaks or viewpoints. This trek would be an excellent way to explore Philmont for the first time!</t>
  </si>
  <si>
    <t>This itinerary provides plenty of opportunity for program while exploring the impacts of wildfire on the landscape. You'll start by traversing the 2018 Ute Park Fire scar culminating in your reforestation project at Cimarroncita. From there you'll cross over ridges, past Black Jack's famous hideout, and into the Ponil Country, a landscape affected by a massive fire in 2002. Hike over Hart Peak and find yourself in North Ponil Canyon, filled with pre-historic petroglyphs and dinosaur tracks!</t>
  </si>
  <si>
    <t>This South to North trek provides plenty of time for backcountry staffed camp program while visiting a wide variety of Philmont landscapes. Enjoy walking through the meadows surrounding Lovers Leap before heading up into the mountains on Tooth of Time Ridge. If time allows, take a side-hike to one of the Summits before crossing by Cimarroncito Reservoir and heading into Philmont's western mountains and north into the 2018 Ute Park Fire recovery zone.</t>
  </si>
  <si>
    <t>If you're looking to bag some peaks while still having some time for program, this itinerary might be for you. It starts with lots of lower-elevation program opportunities before heading up in elevation to more and more peaks and viewpoints of Philmont's beautiful south country. You'll have plenty of opportunities to add more peaks or walk along meadows and streamside trails. Finally everything wraps up with the iconic hike into base camp on Tooth of Time Ridge!</t>
  </si>
  <si>
    <t>Watch the landscape evolve as your traverse Philmont's north country in this nine day trek. You'll start exploring pre-history in the North Ponil Canyon with dinosaurs and petroglyphs, before moving into cowboys, loggers, fur trappers, and miners as you ascend into Baldy Country. You'll be amazed when you look back at the wide variety of scenic landscapes you've experienced and all of the historic people that have traversed them!</t>
  </si>
  <si>
    <t>Explore further north than any other nine day itinerary in this trek. You'll get to experience the Valle Vidal of the Carson National Forest and the Elliot Barker Wildlife Area while still having plenty of opportunities for program steeped in rich history. You'll start at the confluence of the North and Middle Ponil rivers and head far up canyons and into the valleys north of Philmont before turning around to head back south over Wilson Mesa back towards the Ponil Country.</t>
  </si>
  <si>
    <t>This itinerary spends significant time in the central country of Philmont in and around the 2018 Ute Park Fire recovery area with opportunities to learn about the ecology and effects of catastrophic forest fires and a chance to assist with the reforestation of this area. It also provides multiple opportunities for high adventure programs with a little bit of mining history thrown in. Crews hiking this trek should be prepared to hike early and keep an eye on weather while traversing exposed areas and canyons in the recovery area.</t>
  </si>
  <si>
    <t>This large loop of Philmont's South Country will expose your crew to much of the scenery this portion of the ranch has to offer while still offering a very wide variety of program opportunities. However, with higher mileage, crews must practice good teamwork and discipline to take advantage of these opportunities. Choose this itinerary if your crew is looking for a bit of a challenge, but still is interested in a good mix of high adventure and historical interpretation programs.</t>
  </si>
  <si>
    <t>Choose this strenuous itinerary to follow in the footsteps of New Mexican settlers pushing further and further into the mountains that now make up Philmont. You'll start in the Rayado valley and push up the river until crossing over into the breathtaking Beaubien Meadow and pushing up to Mount Phillips, the highest point on the trek. From there you'll follow ridges and watercourses back down just on the southern edge of the 2018 Ute Park Fire area. There are program opportunities spread throughout this trek, but to take advantage of them, particularly those up at higher elevation, you'll need to make sure your crew is working together smoothly and prepared for some early starts.</t>
  </si>
  <si>
    <t>If your crew is up to the mileage and elevation gain, this itinerary is a powerhouse of north country history and viewpoints. Your crew will get the opportunity to take part in programs that tell the story of early resource extraction in this region from early fur trapping to logging, mining, and the railroads that supported them, but only if your crew is motivated and well-prepared to put in the miles and gain over 10,000 feet of elevation over a relatively short timeframe!</t>
  </si>
  <si>
    <t>This itinerary puts in the miles to traverse the many landscapes that Philmont and our northern neighbors have to offer. You'll start by exploring the historic wonders of the North Ponil canyon before crossing over to the middle Ponil and Greenwood Canyons. The rivers here delineate the boundary between the Greenwood Tract of the UU Bar Ranch and the Valle Vidal of the Carson National Forest and offer a true wilderness experience. From here you'll quickly ascend to the high summit of Baldy Mountain and overlook all of the land you had previously hiked over. While you will check-in with quite a few staffed camps, know that your time spent at each will be limited as you quickly move across this breathtaking landscape!</t>
  </si>
  <si>
    <t>This nine day itinerary provides wonderful rewards for high-performing crews willing to meet the challenge. It starts out by traversing the 2018 Ute Park burn scar to quickly gain elevation leading up to Mount Phillips. From there it descends rivers and meadows before gaining elevation once again, culminating at the Summit of the iconic Tooth of Time. Along the way there are brief stops at many different staffed camps with opportunities for program, but only if your crew's hiking schedule allows.</t>
  </si>
  <si>
    <t>9-11</t>
  </si>
  <si>
    <t>9-6</t>
  </si>
  <si>
    <t>9-12</t>
  </si>
  <si>
    <t>9-10</t>
  </si>
  <si>
    <t>9-8</t>
  </si>
  <si>
    <t>9-4</t>
  </si>
  <si>
    <t>9-9</t>
  </si>
  <si>
    <t>9-1</t>
  </si>
  <si>
    <t>9-7</t>
  </si>
  <si>
    <t>9-5</t>
  </si>
  <si>
    <t>9-2</t>
  </si>
  <si>
    <t>9-3</t>
  </si>
  <si>
    <t>Note:  Evening: Abreu Family Dinner &amp; Wheeled: Mountain Biking removed - not on 9-Day itineraries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</si>
</sst>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0_);_(* \(#,##0.0\);_(* &quot;-&quot;??_);_(@_)"/>
    <numFmt numFmtId="165" formatCode="_(* #,##0_);_(* \(#,##0\);_(* &quot;-&quot;??_);_(@_)"/>
    <numFmt numFmtId="166" formatCode="0.0"/>
    <numFmt numFmtId="167" formatCode="_(* #,##0.000_);_(* \(#,##0.000\);_(* &quot;-&quot;??_);_(@_)"/>
    <numFmt numFmtId="168" formatCode="_(* #,##0.00000_);_(* \(#,##0.00000\);_(* &quot;-&quot;??_);_(@_)"/>
    <numFmt numFmtId="169" formatCode="#,##0.0_);[Red]\(#,##0.0\)"/>
    <numFmt numFmtId="170" formatCode=";;;"/>
    <numFmt numFmtId="171" formatCode="_(* #,##0.000_);_(* \(#,##0.000\);_(* &quot;-&quot;???_);_(@_)"/>
  </numFmts>
  <fonts count="108" x14ac:knownFonts="1">
    <font>
      <sz val="10"/>
      <name val="Arial"/>
    </font>
    <font>
      <b/>
      <sz val="10"/>
      <name val="Arial"/>
      <family val="2"/>
    </font>
    <font>
      <sz val="10"/>
      <name val="Arial"/>
      <family val="2"/>
    </font>
    <font>
      <b/>
      <sz val="10"/>
      <color indexed="10"/>
      <name val="Arial"/>
      <family val="2"/>
    </font>
    <font>
      <b/>
      <sz val="12"/>
      <color indexed="18"/>
      <name val="Arial"/>
      <family val="2"/>
    </font>
    <font>
      <b/>
      <sz val="14"/>
      <color indexed="16"/>
      <name val="Arial"/>
      <family val="2"/>
    </font>
    <font>
      <sz val="10"/>
      <color indexed="10"/>
      <name val="Arial"/>
      <family val="2"/>
    </font>
    <font>
      <b/>
      <sz val="10"/>
      <name val="Arial"/>
      <family val="2"/>
    </font>
    <font>
      <sz val="10"/>
      <name val="Arial"/>
      <family val="2"/>
    </font>
    <font>
      <b/>
      <i/>
      <sz val="10"/>
      <name val="Arial"/>
      <family val="2"/>
    </font>
    <font>
      <b/>
      <i/>
      <sz val="9"/>
      <name val="Arial"/>
      <family val="2"/>
    </font>
    <font>
      <b/>
      <sz val="11"/>
      <name val="Arial"/>
      <family val="2"/>
    </font>
    <font>
      <sz val="11"/>
      <name val="Arial"/>
      <family val="2"/>
    </font>
    <font>
      <i/>
      <sz val="10"/>
      <name val="Arial"/>
      <family val="2"/>
    </font>
    <font>
      <sz val="10"/>
      <color indexed="8"/>
      <name val="Arial"/>
      <family val="2"/>
    </font>
    <font>
      <sz val="9"/>
      <name val="Arial"/>
      <family val="2"/>
    </font>
    <font>
      <sz val="10"/>
      <color indexed="8"/>
      <name val="Arial"/>
      <family val="2"/>
    </font>
    <font>
      <b/>
      <sz val="9"/>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0"/>
      <color theme="1"/>
      <name val="Calibri"/>
      <family val="2"/>
    </font>
    <font>
      <sz val="10"/>
      <color rgb="FFFF0000"/>
      <name val="Arial"/>
      <family val="2"/>
    </font>
    <font>
      <b/>
      <i/>
      <sz val="10"/>
      <color rgb="FFFF0000"/>
      <name val="Arial"/>
      <family val="2"/>
    </font>
    <font>
      <b/>
      <i/>
      <sz val="9"/>
      <color rgb="FFFF0000"/>
      <name val="Arial"/>
      <family val="2"/>
    </font>
    <font>
      <i/>
      <sz val="10"/>
      <color rgb="FFFF0000"/>
      <name val="Arial"/>
      <family val="2"/>
    </font>
    <font>
      <b/>
      <sz val="10"/>
      <name val="Calibri"/>
      <family val="2"/>
      <scheme val="minor"/>
    </font>
    <font>
      <b/>
      <sz val="10"/>
      <color indexed="10"/>
      <name val="Calibri"/>
      <family val="2"/>
      <scheme val="minor"/>
    </font>
    <font>
      <sz val="10"/>
      <name val="Calibri"/>
      <family val="2"/>
      <scheme val="minor"/>
    </font>
    <font>
      <i/>
      <sz val="9"/>
      <name val="Calibri"/>
      <family val="2"/>
      <scheme val="minor"/>
    </font>
    <font>
      <b/>
      <i/>
      <sz val="10"/>
      <name val="Calibri"/>
      <family val="2"/>
      <scheme val="minor"/>
    </font>
    <font>
      <b/>
      <sz val="14"/>
      <name val="Calibri"/>
      <family val="2"/>
      <scheme val="minor"/>
    </font>
    <font>
      <sz val="11"/>
      <name val="Calibri"/>
      <family val="2"/>
    </font>
    <font>
      <b/>
      <sz val="10"/>
      <color rgb="FFFF0000"/>
      <name val="Arial"/>
      <family val="2"/>
    </font>
    <font>
      <b/>
      <sz val="11"/>
      <color indexed="8"/>
      <name val="Calibri"/>
      <family val="2"/>
    </font>
    <font>
      <b/>
      <sz val="12"/>
      <color rgb="FFFF0000"/>
      <name val="Arial"/>
      <family val="2"/>
    </font>
    <font>
      <b/>
      <sz val="10"/>
      <color theme="1"/>
      <name val="Arial"/>
      <family val="2"/>
    </font>
    <font>
      <b/>
      <sz val="14"/>
      <color indexed="8"/>
      <name val="Calibri"/>
      <family val="2"/>
    </font>
    <font>
      <sz val="14"/>
      <name val="Arial"/>
      <family val="2"/>
    </font>
    <font>
      <sz val="12"/>
      <color indexed="8"/>
      <name val="Calibri"/>
      <family val="2"/>
    </font>
    <font>
      <b/>
      <sz val="22"/>
      <color indexed="8"/>
      <name val="Calibri"/>
      <family val="2"/>
    </font>
    <font>
      <b/>
      <sz val="10"/>
      <color rgb="FFFF0000"/>
      <name val="Calibri"/>
      <family val="2"/>
      <scheme val="minor"/>
    </font>
    <font>
      <b/>
      <sz val="9"/>
      <color rgb="FFFF0000"/>
      <name val="Calibri"/>
      <family val="2"/>
      <scheme val="minor"/>
    </font>
    <font>
      <b/>
      <sz val="8"/>
      <color rgb="FFFF0000"/>
      <name val="Calibri"/>
      <family val="2"/>
      <scheme val="minor"/>
    </font>
    <font>
      <sz val="8"/>
      <color rgb="FFFF0000"/>
      <name val="Calibri"/>
      <family val="2"/>
      <scheme val="minor"/>
    </font>
    <font>
      <sz val="10"/>
      <color theme="1"/>
      <name val="Arial"/>
      <family val="2"/>
    </font>
    <font>
      <b/>
      <i/>
      <sz val="9"/>
      <color theme="1"/>
      <name val="Arial"/>
      <family val="2"/>
    </font>
    <font>
      <b/>
      <sz val="10"/>
      <color theme="5" tint="-0.499984740745262"/>
      <name val="Arial"/>
      <family val="2"/>
    </font>
    <font>
      <sz val="10"/>
      <color theme="5" tint="-0.499984740745262"/>
      <name val="Arial"/>
      <family val="2"/>
    </font>
    <font>
      <b/>
      <sz val="8"/>
      <color rgb="FF000000"/>
      <name val="Arial"/>
      <family val="2"/>
    </font>
    <font>
      <sz val="8"/>
      <color theme="1" tint="0.249977111117893"/>
      <name val="Calibri"/>
      <family val="2"/>
      <scheme val="minor"/>
    </font>
    <font>
      <sz val="10"/>
      <color rgb="FFFFFFFF"/>
      <name val="Calibri"/>
      <family val="2"/>
      <scheme val="minor"/>
    </font>
    <font>
      <sz val="10"/>
      <color rgb="FFFFFFFF"/>
      <name val="Arial"/>
      <family val="2"/>
    </font>
    <font>
      <sz val="8.5"/>
      <name val="Arial"/>
      <family val="2"/>
    </font>
    <font>
      <sz val="10"/>
      <color theme="1" tint="0.499984740745262"/>
      <name val="Arial"/>
      <family val="2"/>
    </font>
    <font>
      <b/>
      <sz val="10"/>
      <color theme="1" tint="0.499984740745262"/>
      <name val="Arial"/>
      <family val="2"/>
    </font>
    <font>
      <sz val="11"/>
      <color rgb="FFC00000"/>
      <name val="Calibri"/>
      <family val="2"/>
    </font>
    <font>
      <sz val="10"/>
      <color rgb="FFC00000"/>
      <name val="Arial"/>
      <family val="2"/>
    </font>
    <font>
      <sz val="10"/>
      <color rgb="FFFF0000"/>
      <name val="Calibri"/>
      <family val="2"/>
      <scheme val="minor"/>
    </font>
    <font>
      <b/>
      <sz val="9"/>
      <name val="Calibri"/>
      <family val="2"/>
      <scheme val="minor"/>
    </font>
    <font>
      <sz val="8"/>
      <name val="Calibri"/>
      <family val="2"/>
      <scheme val="minor"/>
    </font>
    <font>
      <b/>
      <i/>
      <sz val="16"/>
      <color theme="0"/>
      <name val="Calibri"/>
      <family val="2"/>
      <scheme val="minor"/>
    </font>
    <font>
      <b/>
      <sz val="10"/>
      <color rgb="FF702500"/>
      <name val="Calibri"/>
      <family val="2"/>
      <scheme val="minor"/>
    </font>
    <font>
      <b/>
      <sz val="11"/>
      <color theme="1"/>
      <name val="Calibri"/>
      <family val="2"/>
    </font>
    <font>
      <b/>
      <u/>
      <sz val="11"/>
      <color theme="1"/>
      <name val="Calibri"/>
      <family val="2"/>
    </font>
    <font>
      <sz val="10"/>
      <color rgb="FF000000"/>
      <name val="Arial"/>
      <family val="2"/>
    </font>
    <font>
      <sz val="10"/>
      <color rgb="FF000000"/>
      <name val="Calibri"/>
      <family val="2"/>
      <scheme val="minor"/>
    </font>
    <font>
      <b/>
      <sz val="10"/>
      <color rgb="FF000000"/>
      <name val="Calibri"/>
      <family val="2"/>
      <scheme val="minor"/>
    </font>
    <font>
      <i/>
      <sz val="8"/>
      <color rgb="FF000000"/>
      <name val="Calibri"/>
      <family val="2"/>
    </font>
    <font>
      <sz val="8"/>
      <name val="Arial"/>
      <family val="2"/>
    </font>
    <font>
      <b/>
      <sz val="10"/>
      <color theme="1"/>
      <name val="Calibri"/>
      <family val="2"/>
      <scheme val="minor"/>
    </font>
    <font>
      <sz val="10"/>
      <color theme="1"/>
      <name val="Calibri"/>
      <family val="2"/>
      <scheme val="minor"/>
    </font>
    <font>
      <sz val="10"/>
      <color theme="1" tint="0.34998626667073579"/>
      <name val="Calibri"/>
      <family val="2"/>
      <scheme val="minor"/>
    </font>
    <font>
      <i/>
      <sz val="10"/>
      <color theme="1" tint="0.34998626667073579"/>
      <name val="Calibri"/>
      <family val="2"/>
      <scheme val="minor"/>
    </font>
    <font>
      <i/>
      <sz val="8"/>
      <color theme="1" tint="0.34998626667073579"/>
      <name val="Calibri"/>
      <family val="2"/>
      <scheme val="minor"/>
    </font>
    <font>
      <sz val="7"/>
      <color theme="1" tint="0.34998626667073579"/>
      <name val="Calibri"/>
      <family val="2"/>
      <scheme val="minor"/>
    </font>
    <font>
      <sz val="10"/>
      <color theme="1" tint="0.34998626667073579"/>
      <name val="Arial"/>
      <family val="2"/>
    </font>
    <font>
      <b/>
      <sz val="22"/>
      <name val="Arial"/>
      <family val="2"/>
    </font>
    <font>
      <b/>
      <sz val="22"/>
      <color theme="0"/>
      <name val="Arial"/>
      <family val="2"/>
    </font>
    <font>
      <i/>
      <sz val="12"/>
      <color indexed="60"/>
      <name val="Arial"/>
      <family val="2"/>
    </font>
    <font>
      <sz val="12"/>
      <name val="Arial"/>
      <family val="2"/>
    </font>
    <font>
      <b/>
      <sz val="9"/>
      <color indexed="10"/>
      <name val="Arial"/>
      <family val="2"/>
    </font>
    <font>
      <b/>
      <i/>
      <sz val="9"/>
      <name val="Calibri"/>
      <family val="2"/>
      <scheme val="minor"/>
    </font>
    <font>
      <b/>
      <i/>
      <sz val="12"/>
      <color indexed="8"/>
      <name val="Calibri"/>
      <family val="2"/>
    </font>
    <font>
      <b/>
      <i/>
      <sz val="11"/>
      <color indexed="8"/>
      <name val="Calibri"/>
      <family val="2"/>
    </font>
    <font>
      <sz val="11"/>
      <color rgb="FF000000"/>
      <name val="Arial"/>
      <family val="2"/>
    </font>
    <font>
      <sz val="10"/>
      <color theme="0"/>
      <name val="Arial"/>
      <family val="2"/>
    </font>
    <font>
      <i/>
      <sz val="9"/>
      <name val="Arial"/>
      <family val="2"/>
    </font>
    <font>
      <i/>
      <sz val="9"/>
      <color theme="0"/>
      <name val="Arial"/>
      <family val="2"/>
    </font>
    <font>
      <sz val="11"/>
      <color theme="1"/>
      <name val="Arial"/>
      <family val="2"/>
    </font>
    <font>
      <sz val="11"/>
      <color rgb="FFFF0000"/>
      <name val="Arial"/>
      <family val="2"/>
    </font>
    <font>
      <b/>
      <sz val="12"/>
      <color indexed="8"/>
      <name val="Calibri"/>
      <family val="2"/>
    </font>
    <font>
      <sz val="11"/>
      <color rgb="FFFF0000"/>
      <name val="Calibri"/>
      <family val="2"/>
    </font>
    <font>
      <b/>
      <sz val="10"/>
      <color rgb="FFFFFFFF"/>
      <name val="Calibri"/>
      <family val="2"/>
      <scheme val="minor"/>
    </font>
    <font>
      <b/>
      <i/>
      <sz val="8"/>
      <name val="Arial"/>
      <family val="2"/>
    </font>
    <font>
      <b/>
      <sz val="9"/>
      <color rgb="FFFF0000"/>
      <name val="Arial"/>
      <family val="2"/>
    </font>
    <font>
      <i/>
      <sz val="8"/>
      <color theme="1"/>
      <name val="Calibri"/>
      <family val="2"/>
      <scheme val="minor"/>
    </font>
    <font>
      <b/>
      <sz val="11"/>
      <color indexed="8"/>
      <name val="Calibri"/>
      <family val="2"/>
      <scheme val="minor"/>
    </font>
    <font>
      <sz val="11"/>
      <color indexed="8"/>
      <name val="Calibri"/>
      <family val="2"/>
      <scheme val="minor"/>
    </font>
    <font>
      <sz val="11"/>
      <name val="Calibri"/>
      <family val="2"/>
      <scheme val="minor"/>
    </font>
    <font>
      <i/>
      <sz val="11"/>
      <color rgb="FFFF0000"/>
      <name val="Arial"/>
      <family val="2"/>
    </font>
    <font>
      <i/>
      <sz val="11"/>
      <name val="Arial"/>
      <family val="2"/>
    </font>
    <font>
      <sz val="12"/>
      <color theme="1"/>
      <name val="Arial"/>
      <family val="2"/>
    </font>
    <font>
      <b/>
      <sz val="11"/>
      <color rgb="FFFF0000"/>
      <name val="Calibri"/>
      <family val="2"/>
    </font>
    <font>
      <b/>
      <sz val="11"/>
      <color rgb="FFFF0000"/>
      <name val="Arial"/>
      <family val="2"/>
    </font>
    <font>
      <sz val="11"/>
      <color theme="9" tint="-0.499984740745262"/>
      <name val="Arial"/>
      <family val="2"/>
    </font>
    <font>
      <i/>
      <sz val="9"/>
      <color theme="1"/>
      <name val="Arial"/>
      <family val="2"/>
    </font>
  </fonts>
  <fills count="57">
    <fill>
      <patternFill patternType="none"/>
    </fill>
    <fill>
      <patternFill patternType="gray125"/>
    </fill>
    <fill>
      <patternFill patternType="solid">
        <fgColor indexed="43"/>
        <bgColor indexed="64"/>
      </patternFill>
    </fill>
    <fill>
      <patternFill patternType="solid">
        <fgColor indexed="50"/>
        <bgColor indexed="64"/>
      </patternFill>
    </fill>
    <fill>
      <patternFill patternType="solid">
        <fgColor indexed="31"/>
        <bgColor indexed="64"/>
      </patternFill>
    </fill>
    <fill>
      <patternFill patternType="solid">
        <fgColor indexed="11"/>
        <bgColor indexed="64"/>
      </patternFill>
    </fill>
    <fill>
      <patternFill patternType="solid">
        <fgColor indexed="44"/>
        <bgColor indexed="64"/>
      </patternFill>
    </fill>
    <fill>
      <patternFill patternType="solid">
        <fgColor indexed="49"/>
        <bgColor indexed="64"/>
      </patternFill>
    </fill>
    <fill>
      <patternFill patternType="solid">
        <fgColor indexed="47"/>
        <bgColor indexed="64"/>
      </patternFill>
    </fill>
    <fill>
      <patternFill patternType="solid">
        <fgColor indexed="41"/>
        <bgColor indexed="64"/>
      </patternFill>
    </fill>
    <fill>
      <patternFill patternType="solid">
        <fgColor indexed="42"/>
        <bgColor indexed="64"/>
      </patternFill>
    </fill>
    <fill>
      <patternFill patternType="solid">
        <fgColor indexed="46"/>
        <bgColor indexed="64"/>
      </patternFill>
    </fill>
    <fill>
      <patternFill patternType="solid">
        <fgColor indexed="22"/>
        <bgColor indexed="64"/>
      </patternFill>
    </fill>
    <fill>
      <patternFill patternType="solid">
        <fgColor indexed="45"/>
        <bgColor indexed="64"/>
      </patternFill>
    </fill>
    <fill>
      <patternFill patternType="solid">
        <fgColor indexed="22"/>
        <bgColor indexed="0"/>
      </patternFill>
    </fill>
    <fill>
      <patternFill patternType="solid">
        <fgColor indexed="60"/>
        <bgColor indexed="64"/>
      </patternFill>
    </fill>
    <fill>
      <patternFill patternType="solid">
        <fgColor rgb="FFFF0000"/>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rgb="FFFFFF99"/>
        <bgColor indexed="64"/>
      </patternFill>
    </fill>
    <fill>
      <patternFill patternType="solid">
        <fgColor rgb="FFCCFFCC"/>
        <bgColor indexed="64"/>
      </patternFill>
    </fill>
    <fill>
      <patternFill patternType="solid">
        <fgColor rgb="FFE6B8B7"/>
        <bgColor indexed="64"/>
      </patternFill>
    </fill>
    <fill>
      <patternFill patternType="solid">
        <fgColor rgb="FFFFDECD"/>
        <bgColor indexed="64"/>
      </patternFill>
    </fill>
    <fill>
      <patternFill patternType="solid">
        <fgColor rgb="FF99CC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3F3F3"/>
        <bgColor indexed="64"/>
      </patternFill>
    </fill>
    <fill>
      <patternFill patternType="solid">
        <fgColor rgb="FF993300"/>
        <bgColor indexed="64"/>
      </patternFill>
    </fill>
    <fill>
      <patternFill patternType="solid">
        <fgColor theme="5" tint="0.79998168889431442"/>
        <bgColor indexed="0"/>
      </patternFill>
    </fill>
    <fill>
      <patternFill patternType="solid">
        <fgColor theme="6" tint="-0.249977111117893"/>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rgb="FFFF0000"/>
        <bgColor indexed="0"/>
      </patternFill>
    </fill>
    <fill>
      <patternFill patternType="solid">
        <fgColor theme="4" tint="0.79998168889431442"/>
        <bgColor indexed="64"/>
      </patternFill>
    </fill>
    <fill>
      <patternFill patternType="solid">
        <fgColor theme="7" tint="0.59999389629810485"/>
        <bgColor indexed="64"/>
      </patternFill>
    </fill>
    <fill>
      <patternFill patternType="solid">
        <fgColor rgb="FFCCFFCC"/>
        <bgColor indexed="0"/>
      </patternFill>
    </fill>
    <fill>
      <patternFill patternType="solid">
        <fgColor theme="4" tint="0.59999389629810485"/>
        <bgColor indexed="64"/>
      </patternFill>
    </fill>
    <fill>
      <patternFill patternType="solid">
        <fgColor theme="5" tint="-0.249977111117893"/>
        <bgColor indexed="64"/>
      </patternFill>
    </fill>
    <fill>
      <patternFill patternType="solid">
        <fgColor theme="3" tint="0.79998168889431442"/>
        <bgColor indexed="64"/>
      </patternFill>
    </fill>
    <fill>
      <patternFill patternType="solid">
        <fgColor rgb="FFDEDAC4"/>
        <bgColor indexed="64"/>
      </patternFill>
    </fill>
    <fill>
      <patternFill patternType="solid">
        <fgColor rgb="FFFFBDBD"/>
        <bgColor indexed="64"/>
      </patternFill>
    </fill>
    <fill>
      <patternFill patternType="solid">
        <fgColor rgb="FFFFA7A7"/>
        <bgColor indexed="64"/>
      </patternFill>
    </fill>
    <fill>
      <patternFill patternType="solid">
        <fgColor rgb="FFFFA7A7"/>
        <bgColor indexed="0"/>
      </patternFill>
    </fill>
    <fill>
      <patternFill patternType="solid">
        <fgColor theme="3" tint="0.59999389629810485"/>
        <bgColor indexed="64"/>
      </patternFill>
    </fill>
    <fill>
      <patternFill patternType="solid">
        <fgColor theme="5" tint="0.59999389629810485"/>
        <bgColor indexed="0"/>
      </patternFill>
    </fill>
    <fill>
      <patternFill patternType="solid">
        <fgColor rgb="FFDCE6F1"/>
        <bgColor indexed="64"/>
      </patternFill>
    </fill>
    <fill>
      <patternFill patternType="solid">
        <fgColor theme="6" tint="0.79998168889431442"/>
        <bgColor indexed="64"/>
      </patternFill>
    </fill>
    <fill>
      <patternFill patternType="solid">
        <fgColor theme="9" tint="-0.249977111117893"/>
        <bgColor indexed="64"/>
      </patternFill>
    </fill>
  </fills>
  <borders count="2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22"/>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medium">
        <color indexed="64"/>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64"/>
      </right>
      <top style="thin">
        <color indexed="55"/>
      </top>
      <bottom style="thin">
        <color indexed="55"/>
      </bottom>
      <diagonal/>
    </border>
    <border>
      <left style="thin">
        <color indexed="55"/>
      </left>
      <right/>
      <top style="thin">
        <color indexed="55"/>
      </top>
      <bottom style="medium">
        <color indexed="64"/>
      </bottom>
      <diagonal/>
    </border>
    <border>
      <left style="thin">
        <color indexed="55"/>
      </left>
      <right style="thin">
        <color indexed="55"/>
      </right>
      <top style="thin">
        <color indexed="55"/>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55"/>
      </right>
      <top style="thin">
        <color indexed="55"/>
      </top>
      <bottom style="medium">
        <color indexed="64"/>
      </bottom>
      <diagonal/>
    </border>
    <border>
      <left style="medium">
        <color indexed="64"/>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64"/>
      </right>
      <top/>
      <bottom style="thin">
        <color indexed="55"/>
      </bottom>
      <diagonal/>
    </border>
    <border>
      <left style="medium">
        <color indexed="64"/>
      </left>
      <right style="thin">
        <color indexed="55"/>
      </right>
      <top style="medium">
        <color indexed="64"/>
      </top>
      <bottom/>
      <diagonal/>
    </border>
    <border>
      <left style="thin">
        <color indexed="55"/>
      </left>
      <right style="thin">
        <color indexed="55"/>
      </right>
      <top style="medium">
        <color indexed="64"/>
      </top>
      <bottom/>
      <diagonal/>
    </border>
    <border>
      <left style="medium">
        <color indexed="64"/>
      </left>
      <right style="thin">
        <color indexed="55"/>
      </right>
      <top/>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medium">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medium">
        <color indexed="64"/>
      </bottom>
      <diagonal/>
    </border>
    <border>
      <left style="medium">
        <color indexed="64"/>
      </left>
      <right style="thin">
        <color theme="0" tint="-0.34998626667073579"/>
      </right>
      <top style="medium">
        <color indexed="64"/>
      </top>
      <bottom style="medium">
        <color indexed="64"/>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thin">
        <color theme="0" tint="-0.34998626667073579"/>
      </left>
      <right style="medium">
        <color indexed="64"/>
      </right>
      <top/>
      <bottom style="thin">
        <color theme="0" tint="-0.34998626667073579"/>
      </bottom>
      <diagonal/>
    </border>
    <border>
      <left style="medium">
        <color indexed="64"/>
      </left>
      <right style="thin">
        <color theme="0" tint="-0.34998626667073579"/>
      </right>
      <top/>
      <bottom style="medium">
        <color indexed="64"/>
      </bottom>
      <diagonal/>
    </border>
    <border>
      <left style="thin">
        <color theme="0" tint="-0.34998626667073579"/>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medium">
        <color indexed="64"/>
      </bottom>
      <diagonal/>
    </border>
    <border>
      <left style="thin">
        <color theme="0" tint="-0.34998626667073579"/>
      </left>
      <right style="medium">
        <color indexed="64"/>
      </right>
      <top style="medium">
        <color indexed="64"/>
      </top>
      <bottom/>
      <diagonal/>
    </border>
    <border>
      <left style="thin">
        <color theme="0" tint="-0.34998626667073579"/>
      </left>
      <right style="medium">
        <color indexed="64"/>
      </right>
      <top/>
      <bottom style="medium">
        <color indexed="64"/>
      </bottom>
      <diagonal/>
    </border>
    <border>
      <left style="thin">
        <color indexed="55"/>
      </left>
      <right style="medium">
        <color indexed="64"/>
      </right>
      <top style="medium">
        <color indexed="64"/>
      </top>
      <bottom/>
      <diagonal/>
    </border>
    <border>
      <left style="thin">
        <color indexed="55"/>
      </left>
      <right/>
      <top style="medium">
        <color indexed="64"/>
      </top>
      <bottom style="thin">
        <color indexed="55"/>
      </bottom>
      <diagonal/>
    </border>
    <border>
      <left/>
      <right/>
      <top style="medium">
        <color indexed="64"/>
      </top>
      <bottom style="thin">
        <color indexed="55"/>
      </bottom>
      <diagonal/>
    </border>
    <border>
      <left/>
      <right style="medium">
        <color indexed="64"/>
      </right>
      <top style="medium">
        <color indexed="64"/>
      </top>
      <bottom style="thin">
        <color indexed="55"/>
      </bottom>
      <diagonal/>
    </border>
    <border>
      <left style="thin">
        <color indexed="55"/>
      </left>
      <right style="medium">
        <color indexed="64"/>
      </right>
      <top style="thin">
        <color indexed="55"/>
      </top>
      <bottom style="medium">
        <color indexed="64"/>
      </bottom>
      <diagonal/>
    </border>
    <border>
      <left style="thin">
        <color indexed="55"/>
      </left>
      <right/>
      <top/>
      <bottom style="thin">
        <color indexed="55"/>
      </bottom>
      <diagonal/>
    </border>
    <border>
      <left/>
      <right style="thin">
        <color indexed="64"/>
      </right>
      <top style="medium">
        <color indexed="64"/>
      </top>
      <bottom style="medium">
        <color indexed="64"/>
      </bottom>
      <diagonal/>
    </border>
    <border>
      <left style="thin">
        <color indexed="55"/>
      </left>
      <right style="thin">
        <color indexed="55"/>
      </right>
      <top/>
      <bottom style="medium">
        <color indexed="64"/>
      </bottom>
      <diagonal/>
    </border>
    <border>
      <left style="thin">
        <color indexed="55"/>
      </left>
      <right style="medium">
        <color indexed="64"/>
      </right>
      <top/>
      <bottom style="medium">
        <color indexed="64"/>
      </bottom>
      <diagonal/>
    </border>
    <border>
      <left/>
      <right style="thin">
        <color indexed="55"/>
      </right>
      <top style="thin">
        <color indexed="55"/>
      </top>
      <bottom style="thin">
        <color indexed="55"/>
      </bottom>
      <diagonal/>
    </border>
    <border>
      <left/>
      <right style="thin">
        <color indexed="55"/>
      </right>
      <top style="thin">
        <color indexed="55"/>
      </top>
      <bottom style="medium">
        <color indexed="64"/>
      </bottom>
      <diagonal/>
    </border>
    <border>
      <left/>
      <right style="thin">
        <color indexed="22"/>
      </right>
      <top style="thin">
        <color indexed="22"/>
      </top>
      <bottom style="thin">
        <color indexed="22"/>
      </bottom>
      <diagonal/>
    </border>
    <border>
      <left/>
      <right style="thin">
        <color theme="0" tint="-0.34998626667073579"/>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34998626667073579"/>
      </left>
      <right style="thin">
        <color theme="0" tint="-0.34998626667073579"/>
      </right>
      <top style="medium">
        <color auto="1"/>
      </top>
      <bottom style="thin">
        <color theme="0" tint="-0.34998626667073579"/>
      </bottom>
      <diagonal/>
    </border>
    <border>
      <left style="thin">
        <color theme="0" tint="-0.34998626667073579"/>
      </left>
      <right style="medium">
        <color auto="1"/>
      </right>
      <top style="medium">
        <color auto="1"/>
      </top>
      <bottom style="thin">
        <color theme="0" tint="-0.3499862666707357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theme="0" tint="-0.34998626667073579"/>
      </left>
      <right style="thin">
        <color theme="0" tint="-0.34998626667073579"/>
      </right>
      <top style="medium">
        <color auto="1"/>
      </top>
      <bottom/>
      <diagonal/>
    </border>
    <border>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thin">
        <color theme="0" tint="-0.34998626667073579"/>
      </right>
      <top style="medium">
        <color auto="1"/>
      </top>
      <bottom style="thin">
        <color theme="0" tint="-0.34998626667073579"/>
      </bottom>
      <diagonal/>
    </border>
    <border>
      <left style="thin">
        <color theme="0" tint="-0.34998626667073579"/>
      </left>
      <right style="medium">
        <color auto="1"/>
      </right>
      <top style="medium">
        <color auto="1"/>
      </top>
      <bottom style="thin">
        <color theme="0" tint="-0.34998626667073579"/>
      </bottom>
      <diagonal/>
    </border>
    <border>
      <left style="medium">
        <color auto="1"/>
      </left>
      <right style="thin">
        <color theme="0" tint="-0.34998626667073579"/>
      </right>
      <top style="medium">
        <color auto="1"/>
      </top>
      <bottom style="medium">
        <color auto="1"/>
      </bottom>
      <diagonal/>
    </border>
    <border>
      <left style="thin">
        <color theme="0" tint="-0.34998626667073579"/>
      </left>
      <right style="medium">
        <color auto="1"/>
      </right>
      <top style="medium">
        <color auto="1"/>
      </top>
      <bottom style="medium">
        <color auto="1"/>
      </bottom>
      <diagonal/>
    </border>
    <border>
      <left/>
      <right/>
      <top style="medium">
        <color indexed="64"/>
      </top>
      <bottom/>
      <diagonal/>
    </border>
    <border>
      <left style="thin">
        <color indexed="55"/>
      </left>
      <right style="medium">
        <color indexed="64"/>
      </right>
      <top style="thin">
        <color indexed="55"/>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55"/>
      </right>
      <top style="medium">
        <color indexed="64"/>
      </top>
      <bottom style="medium">
        <color indexed="64"/>
      </bottom>
      <diagonal/>
    </border>
    <border>
      <left style="thin">
        <color indexed="55"/>
      </left>
      <right style="thin">
        <color indexed="55"/>
      </right>
      <top style="medium">
        <color indexed="64"/>
      </top>
      <bottom style="medium">
        <color indexed="64"/>
      </bottom>
      <diagonal/>
    </border>
    <border>
      <left style="thin">
        <color indexed="55"/>
      </left>
      <right style="medium">
        <color indexed="64"/>
      </right>
      <top style="medium">
        <color indexed="64"/>
      </top>
      <bottom style="medium">
        <color indexed="64"/>
      </bottom>
      <diagonal/>
    </border>
    <border>
      <left style="medium">
        <color indexed="64"/>
      </left>
      <right style="thin">
        <color indexed="55"/>
      </right>
      <top/>
      <bottom style="medium">
        <color indexed="64"/>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auto="1"/>
      </left>
      <right style="thin">
        <color theme="0" tint="-0.34998626667073579"/>
      </right>
      <top style="medium">
        <color auto="1"/>
      </top>
      <bottom/>
      <diagonal/>
    </border>
    <border>
      <left style="medium">
        <color indexed="64"/>
      </left>
      <right/>
      <top/>
      <bottom style="thin">
        <color theme="0" tint="-0.34998626667073579"/>
      </bottom>
      <diagonal/>
    </border>
    <border>
      <left style="medium">
        <color indexed="64"/>
      </left>
      <right/>
      <top style="thin">
        <color theme="0" tint="-0.34998626667073579"/>
      </top>
      <bottom style="medium">
        <color indexed="64"/>
      </bottom>
      <diagonal/>
    </border>
    <border>
      <left/>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right style="thin">
        <color theme="0" tint="-0.34998626667073579"/>
      </right>
      <top style="medium">
        <color auto="1"/>
      </top>
      <bottom/>
      <diagonal/>
    </border>
    <border>
      <left style="thin">
        <color theme="0" tint="-0.34998626667073579"/>
      </left>
      <right/>
      <top style="medium">
        <color indexed="64"/>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medium">
        <color indexed="64"/>
      </bottom>
      <diagonal/>
    </border>
    <border>
      <left/>
      <right style="thin">
        <color indexed="55"/>
      </right>
      <top/>
      <bottom/>
      <diagonal/>
    </border>
    <border>
      <left style="thin">
        <color indexed="55"/>
      </left>
      <right style="medium">
        <color indexed="64"/>
      </right>
      <top/>
      <bottom/>
      <diagonal/>
    </border>
    <border>
      <left style="medium">
        <color indexed="64"/>
      </left>
      <right style="thin">
        <color indexed="55"/>
      </right>
      <top style="medium">
        <color indexed="64"/>
      </top>
      <bottom style="thin">
        <color indexed="55"/>
      </bottom>
      <diagonal/>
    </border>
    <border>
      <left/>
      <right style="thin">
        <color indexed="55"/>
      </right>
      <top style="medium">
        <color indexed="64"/>
      </top>
      <bottom style="thin">
        <color indexed="55"/>
      </bottom>
      <diagonal/>
    </border>
    <border>
      <left style="thin">
        <color indexed="55"/>
      </left>
      <right style="thin">
        <color indexed="55"/>
      </right>
      <top style="medium">
        <color indexed="64"/>
      </top>
      <bottom style="thin">
        <color indexed="55"/>
      </bottom>
      <diagonal/>
    </border>
    <border>
      <left style="thin">
        <color indexed="55"/>
      </left>
      <right style="medium">
        <color indexed="64"/>
      </right>
      <top style="medium">
        <color indexed="64"/>
      </top>
      <bottom style="thin">
        <color indexed="55"/>
      </bottom>
      <diagonal/>
    </border>
    <border>
      <left style="medium">
        <color indexed="8"/>
      </left>
      <right style="thin">
        <color theme="0" tint="-0.34998626667073579"/>
      </right>
      <top style="thin">
        <color theme="0" tint="-0.34998626667073579"/>
      </top>
      <bottom style="medium">
        <color indexed="8"/>
      </bottom>
      <diagonal/>
    </border>
    <border>
      <left style="medium">
        <color auto="1"/>
      </left>
      <right style="thin">
        <color auto="1"/>
      </right>
      <top style="medium">
        <color auto="1"/>
      </top>
      <bottom style="thin">
        <color theme="0" tint="-0.34998626667073579"/>
      </bottom>
      <diagonal/>
    </border>
    <border>
      <left style="medium">
        <color auto="1"/>
      </left>
      <right style="thin">
        <color auto="1"/>
      </right>
      <top style="thin">
        <color theme="0" tint="-0.34998626667073579"/>
      </top>
      <bottom style="thin">
        <color theme="0" tint="-0.34998626667073579"/>
      </bottom>
      <diagonal/>
    </border>
    <border>
      <left style="medium">
        <color auto="1"/>
      </left>
      <right style="thin">
        <color auto="1"/>
      </right>
      <top style="thin">
        <color theme="0" tint="-0.34998626667073579"/>
      </top>
      <bottom style="medium">
        <color indexed="64"/>
      </bottom>
      <diagonal/>
    </border>
    <border>
      <left/>
      <right style="thin">
        <color theme="0" tint="-0.34998626667073579"/>
      </right>
      <top style="medium">
        <color auto="1"/>
      </top>
      <bottom style="thin">
        <color theme="0" tint="-0.34998626667073579"/>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22"/>
      </right>
      <top style="thin">
        <color indexed="22"/>
      </top>
      <bottom/>
      <diagonal/>
    </border>
    <border>
      <left style="medium">
        <color indexed="64"/>
      </left>
      <right style="thin">
        <color indexed="22"/>
      </right>
      <top/>
      <bottom style="thin">
        <color indexed="22"/>
      </bottom>
      <diagonal/>
    </border>
    <border>
      <left style="thin">
        <color theme="5" tint="-0.24994659260841701"/>
      </left>
      <right style="thin">
        <color theme="5" tint="-0.24994659260841701"/>
      </right>
      <top style="thin">
        <color theme="5" tint="-0.24994659260841701"/>
      </top>
      <bottom style="thin">
        <color theme="5" tint="-0.24994659260841701"/>
      </bottom>
      <diagonal/>
    </border>
    <border>
      <left style="thin">
        <color theme="5" tint="-0.24994659260841701"/>
      </left>
      <right style="medium">
        <color indexed="64"/>
      </right>
      <top style="thin">
        <color theme="5" tint="-0.24994659260841701"/>
      </top>
      <bottom style="thin">
        <color theme="5" tint="-0.24994659260841701"/>
      </bottom>
      <diagonal/>
    </border>
    <border>
      <left style="thin">
        <color theme="5" tint="-0.24994659260841701"/>
      </left>
      <right style="thin">
        <color theme="5" tint="-0.24994659260841701"/>
      </right>
      <top style="thin">
        <color theme="5" tint="-0.24994659260841701"/>
      </top>
      <bottom style="medium">
        <color indexed="64"/>
      </bottom>
      <diagonal/>
    </border>
    <border>
      <left style="thin">
        <color theme="5" tint="-0.24994659260841701"/>
      </left>
      <right style="medium">
        <color indexed="64"/>
      </right>
      <top style="thin">
        <color theme="5" tint="-0.24994659260841701"/>
      </top>
      <bottom style="medium">
        <color indexed="64"/>
      </bottom>
      <diagonal/>
    </border>
    <border>
      <left style="thin">
        <color theme="5" tint="-0.24994659260841701"/>
      </left>
      <right style="medium">
        <color indexed="64"/>
      </right>
      <top style="medium">
        <color indexed="64"/>
      </top>
      <bottom style="thick">
        <color theme="5" tint="-0.24994659260841701"/>
      </bottom>
      <diagonal/>
    </border>
    <border>
      <left style="thin">
        <color theme="5" tint="-0.24994659260841701"/>
      </left>
      <right style="thin">
        <color theme="5" tint="-0.24994659260841701"/>
      </right>
      <top/>
      <bottom style="thin">
        <color theme="5" tint="-0.24994659260841701"/>
      </bottom>
      <diagonal/>
    </border>
    <border>
      <left style="thin">
        <color theme="5" tint="-0.24994659260841701"/>
      </left>
      <right style="medium">
        <color indexed="64"/>
      </right>
      <top/>
      <bottom style="thin">
        <color theme="5" tint="-0.24994659260841701"/>
      </bottom>
      <diagonal/>
    </border>
    <border>
      <left style="thin">
        <color theme="5" tint="-0.24994659260841701"/>
      </left>
      <right style="thin">
        <color theme="5" tint="-0.24994659260841701"/>
      </right>
      <top style="medium">
        <color indexed="64"/>
      </top>
      <bottom style="thick">
        <color theme="5" tint="-0.24994659260841701"/>
      </bottom>
      <diagonal/>
    </border>
    <border>
      <left style="medium">
        <color theme="5" tint="-0.24994659260841701"/>
      </left>
      <right style="thin">
        <color theme="5" tint="-0.24994659260841701"/>
      </right>
      <top style="medium">
        <color indexed="64"/>
      </top>
      <bottom style="thick">
        <color theme="5" tint="-0.24994659260841701"/>
      </bottom>
      <diagonal/>
    </border>
    <border>
      <left style="medium">
        <color theme="5" tint="-0.24994659260841701"/>
      </left>
      <right style="thin">
        <color theme="5" tint="-0.24994659260841701"/>
      </right>
      <top/>
      <bottom style="thin">
        <color theme="5" tint="-0.24994659260841701"/>
      </bottom>
      <diagonal/>
    </border>
    <border>
      <left style="medium">
        <color theme="5" tint="-0.24994659260841701"/>
      </left>
      <right style="thin">
        <color theme="5" tint="-0.24994659260841701"/>
      </right>
      <top style="thin">
        <color theme="5" tint="-0.24994659260841701"/>
      </top>
      <bottom style="thin">
        <color theme="5" tint="-0.24994659260841701"/>
      </bottom>
      <diagonal/>
    </border>
    <border>
      <left style="medium">
        <color theme="5" tint="-0.24994659260841701"/>
      </left>
      <right style="thin">
        <color theme="5" tint="-0.24994659260841701"/>
      </right>
      <top style="thin">
        <color theme="5" tint="-0.24994659260841701"/>
      </top>
      <bottom style="medium">
        <color indexed="64"/>
      </bottom>
      <diagonal/>
    </border>
    <border>
      <left style="medium">
        <color theme="5" tint="-0.499984740745262"/>
      </left>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style="thin">
        <color theme="0" tint="-0.34998626667073579"/>
      </left>
      <right style="thin">
        <color theme="0" tint="-0.34998626667073579"/>
      </right>
      <top/>
      <bottom/>
      <diagonal/>
    </border>
    <border>
      <left style="medium">
        <color indexed="64"/>
      </left>
      <right style="thin">
        <color theme="0" tint="-0.34998626667073579"/>
      </right>
      <top/>
      <bottom/>
      <diagonal/>
    </border>
    <border>
      <left style="medium">
        <color indexed="64"/>
      </left>
      <right/>
      <top style="thin">
        <color theme="0" tint="-0.34998626667073579"/>
      </top>
      <bottom style="thin">
        <color theme="0" tint="-0.34998626667073579"/>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auto="1"/>
      </left>
      <right/>
      <top style="medium">
        <color auto="1"/>
      </top>
      <bottom style="thin">
        <color theme="0" tint="-0.34998626667073579"/>
      </bottom>
      <diagonal/>
    </border>
    <border>
      <left style="thin">
        <color theme="0" tint="-0.34998626667073579"/>
      </left>
      <right style="medium">
        <color indexed="64"/>
      </right>
      <top style="medium">
        <color auto="1"/>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8"/>
      </left>
      <right style="thin">
        <color theme="0" tint="-0.34998626667073579"/>
      </right>
      <top style="thin">
        <color theme="0" tint="-0.34998626667073579"/>
      </top>
      <bottom style="thin">
        <color theme="0" tint="-0.34998626667073579"/>
      </bottom>
      <diagonal/>
    </border>
    <border>
      <left style="medium">
        <color indexed="64"/>
      </left>
      <right/>
      <top style="thin">
        <color theme="0" tint="-0.34998626667073579"/>
      </top>
      <bottom/>
      <diagonal/>
    </border>
    <border>
      <left style="thin">
        <color theme="0" tint="-0.34998626667073579"/>
      </left>
      <right/>
      <top style="medium">
        <color indexed="64"/>
      </top>
      <bottom style="thin">
        <color theme="0" tint="-0.34998626667073579"/>
      </bottom>
      <diagonal/>
    </border>
    <border>
      <left style="thin">
        <color theme="0" tint="-0.34998626667073579"/>
      </left>
      <right/>
      <top style="medium">
        <color auto="1"/>
      </top>
      <bottom/>
      <diagonal/>
    </border>
    <border>
      <left style="thin">
        <color theme="0" tint="-0.34998626667073579"/>
      </left>
      <right style="thin">
        <color theme="0" tint="-0.34998626667073579"/>
      </right>
      <top style="medium">
        <color auto="1"/>
      </top>
      <bottom/>
      <diagonal/>
    </border>
    <border>
      <left style="medium">
        <color indexed="64"/>
      </left>
      <right/>
      <top style="thin">
        <color indexed="64"/>
      </top>
      <bottom style="medium">
        <color indexed="64"/>
      </bottom>
      <diagonal/>
    </border>
    <border>
      <left style="thin">
        <color theme="0" tint="-0.34998626667073579"/>
      </left>
      <right/>
      <top style="thin">
        <color theme="0" tint="-0.34998626667073579"/>
      </top>
      <bottom style="medium">
        <color indexed="8"/>
      </bottom>
      <diagonal/>
    </border>
    <border>
      <left style="medium">
        <color indexed="8"/>
      </left>
      <right style="thin">
        <color theme="0" tint="-0.34998626667073579"/>
      </right>
      <top/>
      <bottom style="thin">
        <color theme="0" tint="-0.34998626667073579"/>
      </bottom>
      <diagonal/>
    </border>
    <border>
      <left style="medium">
        <color auto="1"/>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style="medium">
        <color auto="1"/>
      </left>
      <right style="thin">
        <color theme="1" tint="0.499984740745262"/>
      </right>
      <top style="thin">
        <color theme="1" tint="0.499984740745262"/>
      </top>
      <bottom style="medium">
        <color auto="1"/>
      </bottom>
      <diagonal/>
    </border>
    <border>
      <left style="thin">
        <color theme="1" tint="0.499984740745262"/>
      </left>
      <right style="thin">
        <color theme="1" tint="0.499984740745262"/>
      </right>
      <top style="thin">
        <color theme="1" tint="0.499984740745262"/>
      </top>
      <bottom style="medium">
        <color auto="1"/>
      </bottom>
      <diagonal/>
    </border>
    <border>
      <left style="thin">
        <color theme="1" tint="0.499984740745262"/>
      </left>
      <right style="medium">
        <color indexed="64"/>
      </right>
      <top style="thin">
        <color theme="1" tint="0.499984740745262"/>
      </top>
      <bottom style="medium">
        <color auto="1"/>
      </bottom>
      <diagonal/>
    </border>
    <border>
      <left style="medium">
        <color auto="1"/>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medium">
        <color indexed="64"/>
      </right>
      <top/>
      <bottom style="thin">
        <color theme="1" tint="0.499984740745262"/>
      </bottom>
      <diagonal/>
    </border>
    <border>
      <left style="medium">
        <color auto="1"/>
      </left>
      <right style="thin">
        <color theme="1" tint="0.499984740745262"/>
      </right>
      <top style="medium">
        <color auto="1"/>
      </top>
      <bottom style="medium">
        <color auto="1"/>
      </bottom>
      <diagonal/>
    </border>
    <border>
      <left style="thin">
        <color theme="1" tint="0.499984740745262"/>
      </left>
      <right style="thin">
        <color theme="1" tint="0.499984740745262"/>
      </right>
      <top style="medium">
        <color auto="1"/>
      </top>
      <bottom style="medium">
        <color auto="1"/>
      </bottom>
      <diagonal/>
    </border>
    <border>
      <left style="thin">
        <color theme="1" tint="0.499984740745262"/>
      </left>
      <right style="medium">
        <color indexed="64"/>
      </right>
      <top style="medium">
        <color auto="1"/>
      </top>
      <bottom style="medium">
        <color auto="1"/>
      </bottom>
      <diagonal/>
    </border>
    <border>
      <left style="thin">
        <color theme="1" tint="0.499984740745262"/>
      </left>
      <right style="thin">
        <color theme="1" tint="0.499984740745262"/>
      </right>
      <top style="medium">
        <color auto="1"/>
      </top>
      <bottom/>
      <diagonal/>
    </border>
    <border>
      <left style="thin">
        <color theme="1" tint="0.499984740745262"/>
      </left>
      <right style="thin">
        <color theme="1" tint="0.499984740745262"/>
      </right>
      <top/>
      <bottom/>
      <diagonal/>
    </border>
    <border>
      <left style="medium">
        <color indexed="64"/>
      </left>
      <right style="medium">
        <color indexed="64"/>
      </right>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medium">
        <color indexed="64"/>
      </bottom>
      <diagonal/>
    </border>
    <border>
      <left/>
      <right style="thin">
        <color theme="0" tint="-0.34998626667073579"/>
      </right>
      <top/>
      <bottom/>
      <diagonal/>
    </border>
    <border>
      <left/>
      <right style="thin">
        <color theme="0" tint="-0.34998626667073579"/>
      </right>
      <top style="thin">
        <color theme="0" tint="-0.34998626667073579"/>
      </top>
      <bottom/>
      <diagonal/>
    </border>
    <border>
      <left style="medium">
        <color indexed="64"/>
      </left>
      <right style="medium">
        <color theme="5" tint="-0.24994659260841701"/>
      </right>
      <top style="medium">
        <color indexed="64"/>
      </top>
      <bottom/>
      <diagonal/>
    </border>
    <border>
      <left style="medium">
        <color indexed="64"/>
      </left>
      <right style="medium">
        <color theme="5" tint="-0.24994659260841701"/>
      </right>
      <top/>
      <bottom/>
      <diagonal/>
    </border>
    <border>
      <left style="medium">
        <color indexed="64"/>
      </left>
      <right style="medium">
        <color theme="5" tint="-0.24994659260841701"/>
      </right>
      <top/>
      <bottom style="medium">
        <color indexed="64"/>
      </bottom>
      <diagonal/>
    </border>
  </borders>
  <cellStyleXfs count="18">
    <xf numFmtId="0" fontId="0" fillId="0" borderId="0"/>
    <xf numFmtId="43" fontId="2" fillId="0" borderId="0" applyFont="0" applyFill="0" applyBorder="0" applyAlignment="0" applyProtection="0"/>
    <xf numFmtId="0" fontId="22" fillId="0" borderId="0"/>
    <xf numFmtId="0" fontId="22" fillId="0" borderId="0"/>
    <xf numFmtId="0" fontId="22" fillId="0" borderId="0"/>
    <xf numFmtId="0" fontId="22" fillId="0" borderId="0"/>
    <xf numFmtId="0" fontId="16" fillId="0" borderId="0"/>
    <xf numFmtId="0" fontId="16" fillId="0" borderId="0"/>
    <xf numFmtId="0" fontId="14" fillId="0" borderId="0"/>
    <xf numFmtId="0" fontId="21" fillId="0" borderId="0"/>
    <xf numFmtId="0" fontId="20" fillId="0" borderId="0"/>
    <xf numFmtId="0" fontId="14" fillId="0" borderId="0"/>
    <xf numFmtId="0" fontId="21" fillId="0" borderId="0"/>
    <xf numFmtId="0" fontId="14" fillId="0" borderId="0"/>
    <xf numFmtId="0" fontId="14" fillId="0" borderId="0"/>
    <xf numFmtId="0" fontId="14" fillId="0" borderId="0"/>
    <xf numFmtId="0" fontId="2" fillId="0" borderId="0"/>
    <xf numFmtId="0" fontId="14" fillId="0" borderId="0"/>
  </cellStyleXfs>
  <cellXfs count="1289">
    <xf numFmtId="0" fontId="0" fillId="0" borderId="0" xfId="0"/>
    <xf numFmtId="0" fontId="0" fillId="0" borderId="0" xfId="0" applyAlignment="1">
      <alignment horizontal="center"/>
    </xf>
    <xf numFmtId="0" fontId="1" fillId="0" borderId="0" xfId="0" applyFont="1" applyAlignment="1">
      <alignment horizontal="center"/>
    </xf>
    <xf numFmtId="165" fontId="0" fillId="0" borderId="0" xfId="1" applyNumberFormat="1" applyFont="1" applyAlignment="1">
      <alignment horizontal="center"/>
    </xf>
    <xf numFmtId="0" fontId="1" fillId="0" borderId="0" xfId="0" applyFont="1" applyAlignment="1">
      <alignment horizontal="center" wrapText="1"/>
    </xf>
    <xf numFmtId="164" fontId="0" fillId="0" borderId="0" xfId="1" applyNumberFormat="1" applyFont="1" applyAlignment="1"/>
    <xf numFmtId="43" fontId="0" fillId="0" borderId="0" xfId="1" applyFont="1" applyAlignment="1">
      <alignment horizontal="center"/>
    </xf>
    <xf numFmtId="0" fontId="0" fillId="0" borderId="9" xfId="0" applyBorder="1"/>
    <xf numFmtId="0" fontId="0" fillId="0" borderId="23" xfId="0" applyBorder="1"/>
    <xf numFmtId="0" fontId="0" fillId="0" borderId="4" xfId="0" applyBorder="1"/>
    <xf numFmtId="0" fontId="0" fillId="0" borderId="10" xfId="0" applyBorder="1"/>
    <xf numFmtId="0" fontId="0" fillId="0" borderId="15" xfId="0" applyBorder="1"/>
    <xf numFmtId="0" fontId="7" fillId="0" borderId="10" xfId="0" applyFont="1" applyBorder="1"/>
    <xf numFmtId="0" fontId="6" fillId="0" borderId="15" xfId="0" applyFont="1" applyBorder="1"/>
    <xf numFmtId="0" fontId="8" fillId="0" borderId="0" xfId="0" applyFont="1"/>
    <xf numFmtId="0" fontId="8" fillId="0" borderId="23" xfId="0" applyFont="1" applyBorder="1"/>
    <xf numFmtId="0" fontId="8" fillId="0" borderId="4" xfId="0" applyFont="1" applyBorder="1"/>
    <xf numFmtId="0" fontId="8" fillId="0" borderId="15" xfId="0" applyFont="1" applyBorder="1"/>
    <xf numFmtId="0" fontId="8" fillId="0" borderId="10" xfId="0" applyFont="1" applyBorder="1"/>
    <xf numFmtId="0" fontId="7" fillId="0" borderId="0" xfId="0" applyFont="1" applyAlignment="1">
      <alignment horizontal="center"/>
    </xf>
    <xf numFmtId="0" fontId="6" fillId="0" borderId="0" xfId="0" applyFont="1"/>
    <xf numFmtId="0" fontId="3" fillId="0" borderId="0" xfId="0" applyFont="1" applyAlignment="1">
      <alignment horizontal="center"/>
    </xf>
    <xf numFmtId="43" fontId="0" fillId="0" borderId="0" xfId="1" applyFont="1"/>
    <xf numFmtId="0" fontId="1" fillId="3" borderId="0" xfId="0" applyFont="1" applyFill="1" applyAlignment="1">
      <alignment horizontal="center"/>
    </xf>
    <xf numFmtId="0" fontId="12" fillId="0" borderId="0" xfId="0" applyFont="1"/>
    <xf numFmtId="0" fontId="7" fillId="0" borderId="9" xfId="0" applyFont="1" applyBorder="1"/>
    <xf numFmtId="0" fontId="0" fillId="0" borderId="11" xfId="0" applyBorder="1"/>
    <xf numFmtId="0" fontId="0" fillId="0" borderId="16" xfId="0" applyBorder="1"/>
    <xf numFmtId="0" fontId="0" fillId="0" borderId="27" xfId="0" applyBorder="1"/>
    <xf numFmtId="0" fontId="0" fillId="0" borderId="0" xfId="0" applyAlignment="1">
      <alignment vertical="top"/>
    </xf>
    <xf numFmtId="0" fontId="0" fillId="0" borderId="0" xfId="0" applyAlignment="1">
      <alignment wrapText="1"/>
    </xf>
    <xf numFmtId="165" fontId="0" fillId="0" borderId="0" xfId="1" applyNumberFormat="1" applyFont="1" applyFill="1" applyAlignment="1">
      <alignment horizontal="center"/>
    </xf>
    <xf numFmtId="0" fontId="0" fillId="0" borderId="0" xfId="0" applyAlignment="1">
      <alignment vertical="center"/>
    </xf>
    <xf numFmtId="0" fontId="23" fillId="0" borderId="0" xfId="0" applyFont="1"/>
    <xf numFmtId="0" fontId="15" fillId="0" borderId="0" xfId="0" applyFont="1" applyAlignment="1">
      <alignment horizontal="center"/>
    </xf>
    <xf numFmtId="0" fontId="23" fillId="0" borderId="0" xfId="0" applyFont="1" applyAlignment="1" applyProtection="1">
      <alignment horizontal="center"/>
      <protection hidden="1"/>
    </xf>
    <xf numFmtId="0" fontId="2" fillId="0" borderId="0" xfId="0" applyFont="1" applyAlignment="1">
      <alignment vertical="top"/>
    </xf>
    <xf numFmtId="0" fontId="2" fillId="0" borderId="10" xfId="0" applyFont="1" applyBorder="1" applyAlignment="1">
      <alignment vertical="top"/>
    </xf>
    <xf numFmtId="0" fontId="0" fillId="8" borderId="35" xfId="0" applyFill="1" applyBorder="1" applyAlignment="1" applyProtection="1">
      <alignment horizontal="center" vertical="center"/>
      <protection locked="0"/>
    </xf>
    <xf numFmtId="0" fontId="0" fillId="8" borderId="49" xfId="0" applyFill="1" applyBorder="1" applyAlignment="1" applyProtection="1">
      <alignment horizontal="center" vertical="center"/>
      <protection locked="0"/>
    </xf>
    <xf numFmtId="0" fontId="2" fillId="8" borderId="35" xfId="0" applyFont="1" applyFill="1" applyBorder="1" applyAlignment="1" applyProtection="1">
      <alignment horizontal="center" vertical="center"/>
      <protection locked="0"/>
    </xf>
    <xf numFmtId="0" fontId="19" fillId="0" borderId="0" xfId="6" applyFont="1" applyAlignment="1">
      <alignment horizontal="center" wrapText="1"/>
    </xf>
    <xf numFmtId="165" fontId="12" fillId="0" borderId="0" xfId="1" applyNumberFormat="1" applyFont="1" applyAlignment="1">
      <alignment horizontal="center"/>
    </xf>
    <xf numFmtId="168" fontId="0" fillId="0" borderId="0" xfId="1" applyNumberFormat="1" applyFont="1" applyAlignment="1">
      <alignment horizontal="right"/>
    </xf>
    <xf numFmtId="0" fontId="27" fillId="19" borderId="9" xfId="0" applyFont="1" applyFill="1" applyBorder="1" applyAlignment="1">
      <alignment vertical="center"/>
    </xf>
    <xf numFmtId="0" fontId="27" fillId="19" borderId="23" xfId="0" applyFont="1" applyFill="1" applyBorder="1" applyAlignment="1">
      <alignment vertical="center"/>
    </xf>
    <xf numFmtId="0" fontId="27" fillId="19" borderId="24" xfId="0" applyFont="1" applyFill="1" applyBorder="1" applyAlignment="1">
      <alignment vertical="center"/>
    </xf>
    <xf numFmtId="0" fontId="27" fillId="19" borderId="25" xfId="0" applyFont="1" applyFill="1" applyBorder="1" applyAlignment="1">
      <alignment vertical="center"/>
    </xf>
    <xf numFmtId="0" fontId="29" fillId="0" borderId="0" xfId="0" applyFont="1" applyAlignment="1">
      <alignment vertical="center"/>
    </xf>
    <xf numFmtId="0" fontId="27" fillId="0" borderId="0" xfId="0" applyFont="1" applyAlignment="1">
      <alignment vertical="top"/>
    </xf>
    <xf numFmtId="0" fontId="29" fillId="0" borderId="0" xfId="0" applyFont="1" applyAlignment="1">
      <alignment vertical="top"/>
    </xf>
    <xf numFmtId="1" fontId="29" fillId="0" borderId="0" xfId="0" applyNumberFormat="1" applyFont="1" applyAlignment="1">
      <alignment horizontal="center" vertical="top"/>
    </xf>
    <xf numFmtId="0" fontId="30" fillId="0" borderId="0" xfId="0" applyFont="1" applyAlignment="1">
      <alignment vertical="top" wrapText="1"/>
    </xf>
    <xf numFmtId="0" fontId="23" fillId="0" borderId="0" xfId="0" applyFont="1" applyAlignment="1">
      <alignment vertical="center"/>
    </xf>
    <xf numFmtId="0" fontId="29" fillId="0" borderId="0" xfId="0" applyFont="1"/>
    <xf numFmtId="0" fontId="29" fillId="0" borderId="34" xfId="0" applyFont="1" applyBorder="1"/>
    <xf numFmtId="0" fontId="27" fillId="0" borderId="35" xfId="0" applyFont="1" applyBorder="1" applyAlignment="1">
      <alignment horizontal="center"/>
    </xf>
    <xf numFmtId="0" fontId="27" fillId="0" borderId="36" xfId="0" applyFont="1" applyBorder="1" applyAlignment="1">
      <alignment horizontal="center"/>
    </xf>
    <xf numFmtId="0" fontId="2" fillId="0" borderId="10" xfId="0" applyFont="1" applyBorder="1"/>
    <xf numFmtId="0" fontId="1" fillId="0" borderId="11" xfId="0" applyFont="1" applyBorder="1"/>
    <xf numFmtId="0" fontId="0" fillId="0" borderId="0" xfId="1" applyNumberFormat="1" applyFont="1" applyAlignment="1"/>
    <xf numFmtId="0" fontId="2" fillId="0" borderId="0" xfId="16"/>
    <xf numFmtId="0" fontId="2" fillId="0" borderId="0" xfId="0" applyFont="1" applyAlignment="1">
      <alignment horizontal="center"/>
    </xf>
    <xf numFmtId="0" fontId="2" fillId="2" borderId="1" xfId="0" applyFont="1" applyFill="1" applyBorder="1" applyAlignment="1">
      <alignment horizontal="left" wrapText="1"/>
    </xf>
    <xf numFmtId="0" fontId="2" fillId="0" borderId="0" xfId="0" applyFont="1"/>
    <xf numFmtId="0" fontId="29" fillId="0" borderId="0" xfId="0" applyFont="1" applyAlignment="1">
      <alignment horizontal="left" vertical="top" wrapText="1"/>
    </xf>
    <xf numFmtId="2" fontId="0" fillId="0" borderId="0" xfId="0" applyNumberFormat="1" applyAlignment="1">
      <alignment horizontal="center"/>
    </xf>
    <xf numFmtId="0" fontId="27" fillId="0" borderId="0" xfId="0" applyFont="1" applyAlignment="1">
      <alignment horizontal="center" vertical="center"/>
    </xf>
    <xf numFmtId="0" fontId="2" fillId="0" borderId="0" xfId="16" applyAlignment="1">
      <alignment vertical="center"/>
    </xf>
    <xf numFmtId="0" fontId="0" fillId="27" borderId="27" xfId="0" applyFill="1" applyBorder="1" applyAlignment="1">
      <alignment horizontal="center"/>
    </xf>
    <xf numFmtId="0" fontId="39" fillId="0" borderId="0" xfId="16" applyFont="1" applyAlignment="1">
      <alignment horizontal="center"/>
    </xf>
    <xf numFmtId="0" fontId="41" fillId="0" borderId="13" xfId="17" applyFont="1" applyBorder="1" applyAlignment="1">
      <alignment horizontal="center" vertical="center" wrapText="1"/>
    </xf>
    <xf numFmtId="0" fontId="41" fillId="0" borderId="1" xfId="17" applyFont="1" applyBorder="1" applyAlignment="1">
      <alignment horizontal="center" vertical="center" wrapText="1"/>
    </xf>
    <xf numFmtId="0" fontId="1" fillId="30" borderId="9" xfId="0" applyFont="1" applyFill="1" applyBorder="1"/>
    <xf numFmtId="0" fontId="0" fillId="30" borderId="23" xfId="0" applyFill="1" applyBorder="1"/>
    <xf numFmtId="0" fontId="0" fillId="30" borderId="4" xfId="0" applyFill="1" applyBorder="1"/>
    <xf numFmtId="0" fontId="34" fillId="0" borderId="15" xfId="0" applyFont="1" applyBorder="1"/>
    <xf numFmtId="0" fontId="1" fillId="3" borderId="0" xfId="0" applyFont="1" applyFill="1"/>
    <xf numFmtId="0" fontId="1" fillId="3" borderId="0" xfId="0" applyFont="1" applyFill="1" applyAlignment="1">
      <alignment horizontal="left"/>
    </xf>
    <xf numFmtId="0" fontId="1" fillId="3" borderId="4" xfId="0" applyFont="1" applyFill="1" applyBorder="1" applyAlignment="1">
      <alignment horizontal="center"/>
    </xf>
    <xf numFmtId="0" fontId="1" fillId="0" borderId="0" xfId="0" applyFont="1"/>
    <xf numFmtId="0" fontId="2" fillId="2" borderId="3" xfId="0" applyFont="1" applyFill="1" applyBorder="1" applyAlignment="1">
      <alignment horizontal="center"/>
    </xf>
    <xf numFmtId="0" fontId="2" fillId="2" borderId="3" xfId="0" applyFont="1" applyFill="1" applyBorder="1"/>
    <xf numFmtId="0" fontId="2" fillId="7" borderId="9" xfId="0" applyFont="1" applyFill="1" applyBorder="1" applyAlignment="1">
      <alignment horizontal="center"/>
    </xf>
    <xf numFmtId="0" fontId="2" fillId="7" borderId="9" xfId="0" applyFont="1" applyFill="1" applyBorder="1" applyAlignment="1">
      <alignment horizontal="left"/>
    </xf>
    <xf numFmtId="0" fontId="2" fillId="7" borderId="10" xfId="0" applyFont="1" applyFill="1" applyBorder="1" applyAlignment="1">
      <alignment horizontal="center"/>
    </xf>
    <xf numFmtId="0" fontId="2" fillId="7" borderId="10" xfId="0" applyFont="1" applyFill="1" applyBorder="1" applyAlignment="1">
      <alignment horizontal="left"/>
    </xf>
    <xf numFmtId="167" fontId="23" fillId="0" borderId="0" xfId="1" applyNumberFormat="1" applyFont="1" applyProtection="1"/>
    <xf numFmtId="0" fontId="2" fillId="7" borderId="11" xfId="0" applyFont="1" applyFill="1" applyBorder="1" applyAlignment="1">
      <alignment horizontal="center"/>
    </xf>
    <xf numFmtId="0" fontId="2" fillId="7" borderId="11" xfId="0" applyFont="1" applyFill="1" applyBorder="1" applyAlignment="1">
      <alignment horizontal="left"/>
    </xf>
    <xf numFmtId="0" fontId="2" fillId="3" borderId="10" xfId="0" applyFont="1" applyFill="1" applyBorder="1" applyAlignment="1">
      <alignment horizontal="center"/>
    </xf>
    <xf numFmtId="0" fontId="2" fillId="3" borderId="10" xfId="0" applyFont="1" applyFill="1" applyBorder="1" applyAlignment="1">
      <alignment horizontal="left"/>
    </xf>
    <xf numFmtId="0" fontId="2" fillId="3" borderId="11" xfId="0" applyFont="1" applyFill="1" applyBorder="1" applyAlignment="1">
      <alignment horizontal="center"/>
    </xf>
    <xf numFmtId="0" fontId="2" fillId="3" borderId="11" xfId="0" applyFont="1" applyFill="1" applyBorder="1" applyAlignment="1">
      <alignment horizontal="left"/>
    </xf>
    <xf numFmtId="0" fontId="2" fillId="2" borderId="5" xfId="0" applyFont="1" applyFill="1" applyBorder="1" applyAlignment="1">
      <alignment horizontal="center"/>
    </xf>
    <xf numFmtId="0" fontId="2" fillId="2" borderId="5" xfId="0" applyFont="1" applyFill="1" applyBorder="1" applyAlignment="1">
      <alignment horizontal="left"/>
    </xf>
    <xf numFmtId="0" fontId="2" fillId="2" borderId="9" xfId="0" applyFont="1" applyFill="1" applyBorder="1" applyAlignment="1">
      <alignment horizontal="center"/>
    </xf>
    <xf numFmtId="0" fontId="2" fillId="2" borderId="9" xfId="0" applyFont="1" applyFill="1" applyBorder="1" applyAlignment="1">
      <alignment horizontal="left"/>
    </xf>
    <xf numFmtId="0" fontId="2" fillId="2" borderId="29" xfId="0" applyFont="1" applyFill="1" applyBorder="1" applyAlignment="1">
      <alignment horizontal="center"/>
    </xf>
    <xf numFmtId="0" fontId="2" fillId="2" borderId="10" xfId="0" applyFont="1" applyFill="1" applyBorder="1" applyAlignment="1">
      <alignment horizontal="left"/>
    </xf>
    <xf numFmtId="0" fontId="2" fillId="2" borderId="10" xfId="0" applyFont="1" applyFill="1" applyBorder="1" applyAlignment="1">
      <alignment horizontal="center"/>
    </xf>
    <xf numFmtId="0" fontId="2" fillId="2" borderId="11" xfId="0" applyFont="1" applyFill="1" applyBorder="1" applyAlignment="1">
      <alignment horizontal="center"/>
    </xf>
    <xf numFmtId="0" fontId="2" fillId="2" borderId="11" xfId="0" applyFont="1" applyFill="1" applyBorder="1" applyAlignment="1">
      <alignment horizontal="left"/>
    </xf>
    <xf numFmtId="0" fontId="2" fillId="3" borderId="24" xfId="0" applyFont="1" applyFill="1" applyBorder="1"/>
    <xf numFmtId="0" fontId="2" fillId="0" borderId="0" xfId="0" applyFont="1" applyAlignment="1">
      <alignment horizontal="left"/>
    </xf>
    <xf numFmtId="0" fontId="2" fillId="31" borderId="10" xfId="0" applyFont="1" applyFill="1" applyBorder="1" applyAlignment="1">
      <alignment horizontal="center"/>
    </xf>
    <xf numFmtId="169" fontId="2" fillId="2" borderId="14" xfId="1" applyNumberFormat="1" applyFont="1" applyFill="1" applyBorder="1" applyAlignment="1" applyProtection="1">
      <alignment horizontal="center" wrapText="1"/>
    </xf>
    <xf numFmtId="38" fontId="2" fillId="7" borderId="4" xfId="1" applyNumberFormat="1" applyFont="1" applyFill="1" applyBorder="1" applyAlignment="1" applyProtection="1">
      <alignment horizontal="center"/>
    </xf>
    <xf numFmtId="38" fontId="2" fillId="7" borderId="15" xfId="1" applyNumberFormat="1" applyFont="1" applyFill="1" applyBorder="1" applyAlignment="1" applyProtection="1">
      <alignment horizontal="center"/>
    </xf>
    <xf numFmtId="38" fontId="2" fillId="7" borderId="16" xfId="1" applyNumberFormat="1" applyFont="1" applyFill="1" applyBorder="1" applyAlignment="1" applyProtection="1">
      <alignment horizontal="center"/>
    </xf>
    <xf numFmtId="38" fontId="2" fillId="3" borderId="15" xfId="1" applyNumberFormat="1" applyFont="1" applyFill="1" applyBorder="1" applyAlignment="1" applyProtection="1">
      <alignment horizontal="center"/>
      <protection locked="0"/>
    </xf>
    <xf numFmtId="38" fontId="2" fillId="3" borderId="16" xfId="1" applyNumberFormat="1" applyFont="1" applyFill="1" applyBorder="1" applyAlignment="1" applyProtection="1">
      <alignment horizontal="center"/>
      <protection locked="0"/>
    </xf>
    <xf numFmtId="38" fontId="2" fillId="2" borderId="17" xfId="1" applyNumberFormat="1" applyFont="1" applyFill="1" applyBorder="1" applyAlignment="1" applyProtection="1">
      <alignment horizontal="center"/>
      <protection locked="0"/>
    </xf>
    <xf numFmtId="38" fontId="2" fillId="2" borderId="4" xfId="1" applyNumberFormat="1" applyFont="1" applyFill="1" applyBorder="1" applyAlignment="1" applyProtection="1">
      <alignment horizontal="center"/>
      <protection locked="0"/>
    </xf>
    <xf numFmtId="38" fontId="2" fillId="2" borderId="15" xfId="1" applyNumberFormat="1" applyFont="1" applyFill="1" applyBorder="1" applyAlignment="1" applyProtection="1">
      <alignment horizontal="center"/>
      <protection locked="0"/>
    </xf>
    <xf numFmtId="38" fontId="2" fillId="2" borderId="16" xfId="1" applyNumberFormat="1" applyFont="1" applyFill="1" applyBorder="1" applyAlignment="1" applyProtection="1">
      <alignment horizontal="center"/>
      <protection locked="0"/>
    </xf>
    <xf numFmtId="38" fontId="2" fillId="3" borderId="26" xfId="0" applyNumberFormat="1" applyFont="1" applyFill="1" applyBorder="1" applyAlignment="1" applyProtection="1">
      <alignment horizontal="center"/>
      <protection locked="0"/>
    </xf>
    <xf numFmtId="49" fontId="27" fillId="17" borderId="4" xfId="0" applyNumberFormat="1" applyFont="1" applyFill="1" applyBorder="1" applyAlignment="1" applyProtection="1">
      <alignment horizontal="center" vertical="center"/>
      <protection locked="0"/>
    </xf>
    <xf numFmtId="0" fontId="23" fillId="10" borderId="9" xfId="0" applyFont="1" applyFill="1" applyBorder="1" applyAlignment="1">
      <alignment horizontal="center"/>
    </xf>
    <xf numFmtId="0" fontId="23" fillId="10" borderId="4" xfId="1" applyNumberFormat="1" applyFont="1" applyFill="1" applyBorder="1" applyAlignment="1" applyProtection="1">
      <alignment horizontal="right"/>
      <protection locked="0"/>
    </xf>
    <xf numFmtId="0" fontId="23" fillId="10" borderId="10" xfId="0" applyFont="1" applyFill="1" applyBorder="1" applyAlignment="1">
      <alignment horizontal="center"/>
    </xf>
    <xf numFmtId="0" fontId="23" fillId="10" borderId="15" xfId="1" applyNumberFormat="1" applyFont="1" applyFill="1" applyBorder="1" applyAlignment="1" applyProtection="1">
      <alignment horizontal="right"/>
      <protection locked="0"/>
    </xf>
    <xf numFmtId="0" fontId="23" fillId="10" borderId="11" xfId="0" applyFont="1" applyFill="1" applyBorder="1" applyAlignment="1">
      <alignment horizontal="center"/>
    </xf>
    <xf numFmtId="0" fontId="23" fillId="10" borderId="16" xfId="1" applyNumberFormat="1" applyFont="1" applyFill="1" applyBorder="1" applyAlignment="1" applyProtection="1">
      <alignment horizontal="right"/>
      <protection locked="0"/>
    </xf>
    <xf numFmtId="0" fontId="23" fillId="0" borderId="0" xfId="0" applyFont="1" applyAlignment="1">
      <alignment horizontal="center"/>
    </xf>
    <xf numFmtId="0" fontId="23" fillId="0" borderId="0" xfId="1" applyNumberFormat="1" applyFont="1" applyFill="1" applyBorder="1" applyAlignment="1" applyProtection="1">
      <alignment horizontal="center"/>
    </xf>
    <xf numFmtId="0" fontId="23" fillId="0" borderId="0" xfId="1" applyNumberFormat="1" applyFont="1" applyAlignment="1" applyProtection="1">
      <alignment horizontal="center"/>
    </xf>
    <xf numFmtId="0" fontId="34" fillId="0" borderId="24" xfId="0" applyFont="1" applyBorder="1" applyAlignment="1">
      <alignment horizontal="center"/>
    </xf>
    <xf numFmtId="0" fontId="34" fillId="0" borderId="25" xfId="0" applyFont="1" applyBorder="1" applyAlignment="1">
      <alignment horizontal="center"/>
    </xf>
    <xf numFmtId="0" fontId="34" fillId="17" borderId="9" xfId="0" applyFont="1" applyFill="1" applyBorder="1" applyAlignment="1">
      <alignment horizontal="right"/>
    </xf>
    <xf numFmtId="0" fontId="24" fillId="17" borderId="4" xfId="0" applyFont="1" applyFill="1" applyBorder="1" applyAlignment="1" applyProtection="1">
      <alignment horizontal="center"/>
      <protection locked="0"/>
    </xf>
    <xf numFmtId="0" fontId="34" fillId="12" borderId="31" xfId="0" applyFont="1" applyFill="1" applyBorder="1" applyAlignment="1">
      <alignment horizontal="center"/>
    </xf>
    <xf numFmtId="3" fontId="23" fillId="2" borderId="0" xfId="0" applyNumberFormat="1" applyFont="1" applyFill="1" applyAlignment="1">
      <alignment horizontal="center"/>
    </xf>
    <xf numFmtId="3" fontId="23" fillId="8" borderId="0" xfId="0" applyNumberFormat="1" applyFont="1" applyFill="1" applyAlignment="1">
      <alignment horizontal="center"/>
    </xf>
    <xf numFmtId="3" fontId="23" fillId="13" borderId="0" xfId="0" applyNumberFormat="1" applyFont="1" applyFill="1" applyAlignment="1">
      <alignment horizontal="center"/>
    </xf>
    <xf numFmtId="0" fontId="34" fillId="17" borderId="10" xfId="0" applyFont="1" applyFill="1" applyBorder="1" applyAlignment="1">
      <alignment horizontal="right"/>
    </xf>
    <xf numFmtId="0" fontId="24" fillId="17" borderId="15" xfId="0" applyFont="1" applyFill="1" applyBorder="1" applyAlignment="1" applyProtection="1">
      <alignment horizontal="center"/>
      <protection locked="0"/>
    </xf>
    <xf numFmtId="0" fontId="34" fillId="12" borderId="32" xfId="0" applyFont="1" applyFill="1" applyBorder="1" applyAlignment="1">
      <alignment horizontal="center"/>
    </xf>
    <xf numFmtId="3" fontId="23" fillId="10" borderId="0" xfId="0" applyNumberFormat="1" applyFont="1" applyFill="1" applyAlignment="1">
      <alignment horizontal="center"/>
    </xf>
    <xf numFmtId="0" fontId="34" fillId="17" borderId="11" xfId="0" applyFont="1" applyFill="1" applyBorder="1" applyAlignment="1">
      <alignment horizontal="right"/>
    </xf>
    <xf numFmtId="0" fontId="24" fillId="17" borderId="16" xfId="0" applyFont="1" applyFill="1" applyBorder="1" applyAlignment="1" applyProtection="1">
      <alignment horizontal="center"/>
      <protection locked="0"/>
    </xf>
    <xf numFmtId="3" fontId="23" fillId="9" borderId="0" xfId="0" applyNumberFormat="1" applyFont="1" applyFill="1" applyAlignment="1">
      <alignment horizontal="center"/>
    </xf>
    <xf numFmtId="3" fontId="23" fillId="6" borderId="0" xfId="0" applyNumberFormat="1" applyFont="1" applyFill="1" applyAlignment="1">
      <alignment horizontal="center"/>
    </xf>
    <xf numFmtId="0" fontId="34" fillId="12" borderId="33" xfId="0" applyFont="1" applyFill="1" applyBorder="1" applyAlignment="1">
      <alignment horizontal="center"/>
    </xf>
    <xf numFmtId="3" fontId="23" fillId="11" borderId="27" xfId="0" applyNumberFormat="1" applyFont="1" applyFill="1" applyBorder="1" applyAlignment="1">
      <alignment horizontal="center"/>
    </xf>
    <xf numFmtId="3" fontId="23" fillId="13" borderId="27" xfId="0" applyNumberFormat="1" applyFont="1" applyFill="1" applyBorder="1" applyAlignment="1">
      <alignment horizontal="center"/>
    </xf>
    <xf numFmtId="170" fontId="37" fillId="0" borderId="0" xfId="0" applyNumberFormat="1" applyFont="1" applyAlignment="1" applyProtection="1">
      <alignment horizontal="center"/>
      <protection hidden="1"/>
    </xf>
    <xf numFmtId="0" fontId="46" fillId="0" borderId="0" xfId="0" applyFont="1"/>
    <xf numFmtId="167" fontId="46" fillId="0" borderId="0" xfId="1" applyNumberFormat="1" applyFont="1" applyProtection="1"/>
    <xf numFmtId="0" fontId="37" fillId="0" borderId="25" xfId="0" applyFont="1" applyBorder="1" applyAlignment="1">
      <alignment horizontal="center"/>
    </xf>
    <xf numFmtId="0" fontId="37" fillId="0" borderId="26" xfId="0" applyFont="1" applyBorder="1" applyAlignment="1">
      <alignment horizontal="center"/>
    </xf>
    <xf numFmtId="3" fontId="46" fillId="13" borderId="0" xfId="0" applyNumberFormat="1" applyFont="1" applyFill="1" applyAlignment="1">
      <alignment horizontal="center"/>
    </xf>
    <xf numFmtId="3" fontId="46" fillId="11" borderId="15" xfId="0" applyNumberFormat="1" applyFont="1" applyFill="1" applyBorder="1" applyAlignment="1">
      <alignment horizontal="center"/>
    </xf>
    <xf numFmtId="3" fontId="46" fillId="8" borderId="0" xfId="0" applyNumberFormat="1" applyFont="1" applyFill="1" applyAlignment="1">
      <alignment horizontal="center"/>
    </xf>
    <xf numFmtId="3" fontId="46" fillId="13" borderId="15" xfId="0" applyNumberFormat="1" applyFont="1" applyFill="1" applyBorder="1" applyAlignment="1">
      <alignment horizontal="center"/>
    </xf>
    <xf numFmtId="3" fontId="46" fillId="2" borderId="0" xfId="0" applyNumberFormat="1" applyFont="1" applyFill="1" applyAlignment="1">
      <alignment horizontal="center"/>
    </xf>
    <xf numFmtId="3" fontId="46" fillId="8" borderId="15" xfId="0" applyNumberFormat="1" applyFont="1" applyFill="1" applyBorder="1" applyAlignment="1">
      <alignment horizontal="center"/>
    </xf>
    <xf numFmtId="3" fontId="46" fillId="10" borderId="0" xfId="0" applyNumberFormat="1" applyFont="1" applyFill="1" applyAlignment="1">
      <alignment horizontal="center"/>
    </xf>
    <xf numFmtId="3" fontId="46" fillId="2" borderId="15" xfId="0" applyNumberFormat="1" applyFont="1" applyFill="1" applyBorder="1" applyAlignment="1">
      <alignment horizontal="center"/>
    </xf>
    <xf numFmtId="3" fontId="46" fillId="9" borderId="0" xfId="0" applyNumberFormat="1" applyFont="1" applyFill="1" applyAlignment="1">
      <alignment horizontal="center"/>
    </xf>
    <xf numFmtId="3" fontId="46" fillId="10" borderId="15" xfId="0" applyNumberFormat="1" applyFont="1" applyFill="1" applyBorder="1" applyAlignment="1">
      <alignment horizontal="center"/>
    </xf>
    <xf numFmtId="3" fontId="46" fillId="6" borderId="0" xfId="0" applyNumberFormat="1" applyFont="1" applyFill="1" applyAlignment="1">
      <alignment horizontal="center"/>
    </xf>
    <xf numFmtId="3" fontId="46" fillId="9" borderId="15" xfId="0" applyNumberFormat="1" applyFont="1" applyFill="1" applyBorder="1" applyAlignment="1">
      <alignment horizontal="center"/>
    </xf>
    <xf numFmtId="3" fontId="46" fillId="6" borderId="15" xfId="0" applyNumberFormat="1" applyFont="1" applyFill="1" applyBorder="1" applyAlignment="1">
      <alignment horizontal="center"/>
    </xf>
    <xf numFmtId="3" fontId="46" fillId="8" borderId="27" xfId="0" applyNumberFormat="1" applyFont="1" applyFill="1" applyBorder="1" applyAlignment="1">
      <alignment horizontal="center"/>
    </xf>
    <xf numFmtId="3" fontId="46" fillId="2" borderId="16" xfId="0" applyNumberFormat="1" applyFont="1" applyFill="1" applyBorder="1" applyAlignment="1">
      <alignment horizontal="center"/>
    </xf>
    <xf numFmtId="0" fontId="37" fillId="0" borderId="0" xfId="0" applyFont="1"/>
    <xf numFmtId="170" fontId="46" fillId="0" borderId="0" xfId="0" applyNumberFormat="1" applyFont="1" applyAlignment="1" applyProtection="1">
      <alignment horizontal="center"/>
      <protection hidden="1"/>
    </xf>
    <xf numFmtId="170" fontId="48" fillId="0" borderId="0" xfId="0" applyNumberFormat="1" applyFont="1" applyAlignment="1" applyProtection="1">
      <alignment horizontal="center"/>
      <protection hidden="1"/>
    </xf>
    <xf numFmtId="170" fontId="49" fillId="0" borderId="0" xfId="1" applyNumberFormat="1" applyFont="1" applyAlignment="1" applyProtection="1">
      <alignment horizontal="center"/>
      <protection hidden="1"/>
    </xf>
    <xf numFmtId="2" fontId="46" fillId="0" borderId="0" xfId="0" applyNumberFormat="1" applyFont="1"/>
    <xf numFmtId="0" fontId="52" fillId="0" borderId="0" xfId="0" applyFont="1"/>
    <xf numFmtId="0" fontId="53" fillId="0" borderId="0" xfId="0" applyFont="1"/>
    <xf numFmtId="0" fontId="53" fillId="0" borderId="0" xfId="0" applyFont="1" applyAlignment="1">
      <alignment vertical="top"/>
    </xf>
    <xf numFmtId="0" fontId="15" fillId="30" borderId="27" xfId="0" applyFont="1" applyFill="1" applyBorder="1" applyAlignment="1">
      <alignment vertical="center"/>
    </xf>
    <xf numFmtId="0" fontId="34" fillId="30" borderId="0" xfId="16" applyFont="1" applyFill="1" applyAlignment="1">
      <alignment horizontal="center" vertical="center"/>
    </xf>
    <xf numFmtId="0" fontId="40" fillId="0" borderId="12" xfId="17" applyFont="1" applyBorder="1" applyAlignment="1">
      <alignment vertical="center" wrapText="1"/>
    </xf>
    <xf numFmtId="0" fontId="41" fillId="0" borderId="19" xfId="17" applyFont="1" applyBorder="1" applyAlignment="1">
      <alignment horizontal="center" vertical="center" wrapText="1"/>
    </xf>
    <xf numFmtId="0" fontId="40" fillId="0" borderId="3" xfId="17" applyFont="1" applyBorder="1" applyAlignment="1">
      <alignment vertical="center" wrapText="1"/>
    </xf>
    <xf numFmtId="0" fontId="41" fillId="0" borderId="14" xfId="17" applyFont="1" applyBorder="1" applyAlignment="1">
      <alignment horizontal="center" vertical="center" wrapText="1"/>
    </xf>
    <xf numFmtId="0" fontId="55" fillId="0" borderId="0" xfId="0" applyFont="1"/>
    <xf numFmtId="49" fontId="27" fillId="0" borderId="34" xfId="0" applyNumberFormat="1" applyFont="1" applyBorder="1" applyAlignment="1">
      <alignment horizontal="center"/>
    </xf>
    <xf numFmtId="0" fontId="18" fillId="0" borderId="0" xfId="6" applyFont="1" applyAlignment="1">
      <alignment horizontal="right" wrapText="1"/>
    </xf>
    <xf numFmtId="0" fontId="18" fillId="0" borderId="0" xfId="6" applyFont="1" applyAlignment="1">
      <alignment wrapText="1"/>
    </xf>
    <xf numFmtId="0" fontId="18" fillId="0" borderId="79" xfId="14" applyFont="1" applyBorder="1" applyAlignment="1">
      <alignment horizontal="center" wrapText="1"/>
    </xf>
    <xf numFmtId="0" fontId="0" fillId="0" borderId="50" xfId="0" applyBorder="1" applyAlignment="1">
      <alignment horizontal="center"/>
    </xf>
    <xf numFmtId="0" fontId="18" fillId="0" borderId="54" xfId="14" applyFont="1" applyBorder="1" applyAlignment="1">
      <alignment wrapText="1"/>
    </xf>
    <xf numFmtId="2" fontId="57" fillId="0" borderId="54" xfId="14" applyNumberFormat="1" applyFont="1" applyBorder="1" applyAlignment="1">
      <alignment horizontal="right" wrapText="1"/>
    </xf>
    <xf numFmtId="1" fontId="57" fillId="0" borderId="54" xfId="14" applyNumberFormat="1" applyFont="1" applyBorder="1" applyAlignment="1">
      <alignment horizontal="right" wrapText="1"/>
    </xf>
    <xf numFmtId="0" fontId="18" fillId="0" borderId="54" xfId="14" applyFont="1" applyBorder="1" applyAlignment="1">
      <alignment horizontal="center" wrapText="1"/>
    </xf>
    <xf numFmtId="0" fontId="18" fillId="0" borderId="56" xfId="14" applyFont="1" applyBorder="1" applyAlignment="1">
      <alignment wrapText="1"/>
    </xf>
    <xf numFmtId="0" fontId="2" fillId="25" borderId="50" xfId="0" applyFont="1" applyFill="1" applyBorder="1" applyAlignment="1">
      <alignment horizontal="center"/>
    </xf>
    <xf numFmtId="0" fontId="18" fillId="25" borderId="54" xfId="14" applyFont="1" applyFill="1" applyBorder="1" applyAlignment="1">
      <alignment wrapText="1"/>
    </xf>
    <xf numFmtId="2" fontId="18" fillId="25" borderId="54" xfId="14" applyNumberFormat="1" applyFont="1" applyFill="1" applyBorder="1" applyAlignment="1">
      <alignment horizontal="right" wrapText="1"/>
    </xf>
    <xf numFmtId="1" fontId="18" fillId="25" borderId="54" xfId="14" applyNumberFormat="1" applyFont="1" applyFill="1" applyBorder="1" applyAlignment="1">
      <alignment horizontal="right" wrapText="1"/>
    </xf>
    <xf numFmtId="0" fontId="18" fillId="25" borderId="54" xfId="14" applyFont="1" applyFill="1" applyBorder="1" applyAlignment="1">
      <alignment horizontal="center" wrapText="1"/>
    </xf>
    <xf numFmtId="0" fontId="18" fillId="25" borderId="56" xfId="14" applyFont="1" applyFill="1" applyBorder="1" applyAlignment="1">
      <alignment wrapText="1"/>
    </xf>
    <xf numFmtId="2" fontId="18" fillId="0" borderId="54" xfId="14" applyNumberFormat="1" applyFont="1" applyBorder="1" applyAlignment="1">
      <alignment horizontal="right" wrapText="1"/>
    </xf>
    <xf numFmtId="1" fontId="18" fillId="0" borderId="54" xfId="14" applyNumberFormat="1" applyFont="1" applyBorder="1" applyAlignment="1">
      <alignment horizontal="right" wrapText="1"/>
    </xf>
    <xf numFmtId="2" fontId="14" fillId="0" borderId="54" xfId="14" applyNumberFormat="1" applyBorder="1"/>
    <xf numFmtId="0" fontId="0" fillId="33" borderId="50" xfId="0" applyFill="1" applyBorder="1" applyAlignment="1">
      <alignment horizontal="center"/>
    </xf>
    <xf numFmtId="0" fontId="18" fillId="33" borderId="54" xfId="14" applyFont="1" applyFill="1" applyBorder="1" applyAlignment="1">
      <alignment wrapText="1"/>
    </xf>
    <xf numFmtId="2" fontId="18" fillId="33" borderId="54" xfId="14" applyNumberFormat="1" applyFont="1" applyFill="1" applyBorder="1" applyAlignment="1">
      <alignment horizontal="right" wrapText="1"/>
    </xf>
    <xf numFmtId="1" fontId="18" fillId="33" borderId="54" xfId="14" applyNumberFormat="1" applyFont="1" applyFill="1" applyBorder="1" applyAlignment="1">
      <alignment horizontal="right" wrapText="1"/>
    </xf>
    <xf numFmtId="0" fontId="18" fillId="33" borderId="54" xfId="14" applyFont="1" applyFill="1" applyBorder="1" applyAlignment="1">
      <alignment horizontal="center" wrapText="1"/>
    </xf>
    <xf numFmtId="0" fontId="18" fillId="33" borderId="56" xfId="14" applyFont="1" applyFill="1" applyBorder="1" applyAlignment="1">
      <alignment wrapText="1"/>
    </xf>
    <xf numFmtId="0" fontId="2" fillId="32" borderId="50" xfId="0" applyFont="1" applyFill="1" applyBorder="1" applyAlignment="1">
      <alignment horizontal="center"/>
    </xf>
    <xf numFmtId="0" fontId="18" fillId="32" borderId="54" xfId="14" applyFont="1" applyFill="1" applyBorder="1" applyAlignment="1">
      <alignment wrapText="1"/>
    </xf>
    <xf numFmtId="2" fontId="18" fillId="32" borderId="54" xfId="14" applyNumberFormat="1" applyFont="1" applyFill="1" applyBorder="1" applyAlignment="1">
      <alignment horizontal="right" wrapText="1"/>
    </xf>
    <xf numFmtId="1" fontId="18" fillId="32" borderId="54" xfId="14" applyNumberFormat="1" applyFont="1" applyFill="1" applyBorder="1" applyAlignment="1">
      <alignment horizontal="right" wrapText="1"/>
    </xf>
    <xf numFmtId="0" fontId="18" fillId="32" borderId="54" xfId="14" applyFont="1" applyFill="1" applyBorder="1" applyAlignment="1">
      <alignment horizontal="center" wrapText="1"/>
    </xf>
    <xf numFmtId="0" fontId="18" fillId="32" borderId="56" xfId="14" applyFont="1" applyFill="1" applyBorder="1" applyAlignment="1">
      <alignment wrapText="1"/>
    </xf>
    <xf numFmtId="1" fontId="14" fillId="0" borderId="54" xfId="14" applyNumberFormat="1" applyBorder="1"/>
    <xf numFmtId="1" fontId="58" fillId="0" borderId="54" xfId="14" applyNumberFormat="1" applyFont="1" applyBorder="1"/>
    <xf numFmtId="0" fontId="0" fillId="25" borderId="50" xfId="0" applyFill="1" applyBorder="1" applyAlignment="1">
      <alignment horizontal="center"/>
    </xf>
    <xf numFmtId="0" fontId="0" fillId="0" borderId="51" xfId="0" applyBorder="1" applyAlignment="1">
      <alignment horizontal="center"/>
    </xf>
    <xf numFmtId="0" fontId="18" fillId="0" borderId="55" xfId="14" applyFont="1" applyBorder="1" applyAlignment="1">
      <alignment wrapText="1"/>
    </xf>
    <xf numFmtId="2" fontId="57" fillId="0" borderId="55" xfId="14" applyNumberFormat="1" applyFont="1" applyBorder="1" applyAlignment="1">
      <alignment horizontal="right" wrapText="1"/>
    </xf>
    <xf numFmtId="1" fontId="57" fillId="0" borderId="55" xfId="14" applyNumberFormat="1" applyFont="1" applyBorder="1" applyAlignment="1">
      <alignment horizontal="right" wrapText="1"/>
    </xf>
    <xf numFmtId="0" fontId="18" fillId="0" borderId="55" xfId="14" applyFont="1" applyBorder="1" applyAlignment="1">
      <alignment horizontal="center" wrapText="1"/>
    </xf>
    <xf numFmtId="0" fontId="18" fillId="0" borderId="57" xfId="14" applyFont="1" applyBorder="1" applyAlignment="1">
      <alignment wrapText="1"/>
    </xf>
    <xf numFmtId="0" fontId="0" fillId="0" borderId="52" xfId="0" applyBorder="1" applyAlignment="1">
      <alignment horizontal="center"/>
    </xf>
    <xf numFmtId="0" fontId="18" fillId="0" borderId="53" xfId="14" applyFont="1" applyBorder="1" applyAlignment="1">
      <alignment wrapText="1"/>
    </xf>
    <xf numFmtId="2" fontId="57" fillId="0" borderId="53" xfId="14" applyNumberFormat="1" applyFont="1" applyBorder="1" applyAlignment="1">
      <alignment horizontal="right" wrapText="1"/>
    </xf>
    <xf numFmtId="1" fontId="57" fillId="0" borderId="53" xfId="14" applyNumberFormat="1" applyFont="1" applyBorder="1" applyAlignment="1">
      <alignment horizontal="right" wrapText="1"/>
    </xf>
    <xf numFmtId="0" fontId="18" fillId="0" borderId="53" xfId="14" applyFont="1" applyBorder="1" applyAlignment="1">
      <alignment horizontal="center" wrapText="1"/>
    </xf>
    <xf numFmtId="0" fontId="18" fillId="0" borderId="61" xfId="14" applyFont="1" applyBorder="1" applyAlignment="1">
      <alignment wrapText="1"/>
    </xf>
    <xf numFmtId="3" fontId="11" fillId="0" borderId="80" xfId="1" applyNumberFormat="1" applyFont="1" applyFill="1" applyBorder="1" applyAlignment="1">
      <alignment horizontal="center"/>
    </xf>
    <xf numFmtId="0" fontId="11" fillId="27" borderId="58" xfId="0" applyFont="1" applyFill="1" applyBorder="1" applyAlignment="1">
      <alignment horizontal="center"/>
    </xf>
    <xf numFmtId="0" fontId="11" fillId="27" borderId="59" xfId="0" applyFont="1" applyFill="1" applyBorder="1"/>
    <xf numFmtId="3" fontId="11" fillId="27" borderId="59" xfId="1" applyNumberFormat="1" applyFont="1" applyFill="1" applyBorder="1" applyAlignment="1">
      <alignment horizontal="center"/>
    </xf>
    <xf numFmtId="2" fontId="11" fillId="27" borderId="59" xfId="1" applyNumberFormat="1" applyFont="1" applyFill="1" applyBorder="1" applyAlignment="1">
      <alignment horizontal="center"/>
    </xf>
    <xf numFmtId="1" fontId="11" fillId="27" borderId="59" xfId="1" applyNumberFormat="1" applyFont="1" applyFill="1" applyBorder="1" applyAlignment="1">
      <alignment horizontal="center"/>
    </xf>
    <xf numFmtId="3" fontId="11" fillId="27" borderId="60" xfId="1" applyNumberFormat="1" applyFont="1" applyFill="1" applyBorder="1" applyAlignment="1">
      <alignment horizontal="center"/>
    </xf>
    <xf numFmtId="0" fontId="1" fillId="27" borderId="16" xfId="0" applyFont="1" applyFill="1" applyBorder="1" applyAlignment="1">
      <alignment horizontal="center"/>
    </xf>
    <xf numFmtId="0" fontId="59" fillId="0" borderId="0" xfId="0" applyFont="1"/>
    <xf numFmtId="0" fontId="2" fillId="0" borderId="9" xfId="0" applyFont="1" applyBorder="1" applyAlignment="1">
      <alignment vertical="top"/>
    </xf>
    <xf numFmtId="0" fontId="2" fillId="0" borderId="10" xfId="0" applyFont="1" applyBorder="1" applyAlignment="1">
      <alignment horizontal="left" vertical="top" indent="4"/>
    </xf>
    <xf numFmtId="0" fontId="1" fillId="0" borderId="27" xfId="0" applyFont="1" applyBorder="1" applyAlignment="1">
      <alignment horizontal="center"/>
    </xf>
    <xf numFmtId="0" fontId="27" fillId="20" borderId="46" xfId="0" applyFont="1" applyFill="1" applyBorder="1" applyAlignment="1">
      <alignment horizontal="center"/>
    </xf>
    <xf numFmtId="0" fontId="27" fillId="29" borderId="46" xfId="1" applyNumberFormat="1" applyFont="1" applyFill="1" applyBorder="1" applyAlignment="1" applyProtection="1">
      <alignment wrapText="1"/>
    </xf>
    <xf numFmtId="0" fontId="29" fillId="0" borderId="35" xfId="0" applyFont="1" applyBorder="1" applyAlignment="1">
      <alignment horizontal="center"/>
    </xf>
    <xf numFmtId="0" fontId="29" fillId="0" borderId="38" xfId="0" applyFont="1" applyBorder="1" applyAlignment="1">
      <alignment horizontal="center"/>
    </xf>
    <xf numFmtId="0" fontId="29" fillId="0" borderId="43" xfId="0" applyFont="1" applyBorder="1" applyAlignment="1">
      <alignment horizontal="center"/>
    </xf>
    <xf numFmtId="0" fontId="29" fillId="0" borderId="73" xfId="0" applyFont="1" applyBorder="1" applyAlignment="1">
      <alignment horizontal="center"/>
    </xf>
    <xf numFmtId="0" fontId="29" fillId="0" borderId="37" xfId="0" applyFont="1" applyBorder="1" applyAlignment="1">
      <alignment horizontal="center"/>
    </xf>
    <xf numFmtId="0" fontId="27" fillId="23" borderId="4" xfId="0" applyFont="1" applyFill="1" applyBorder="1" applyAlignment="1">
      <alignment horizontal="center" vertical="top"/>
    </xf>
    <xf numFmtId="0" fontId="27" fillId="0" borderId="0" xfId="0" applyFont="1" applyAlignment="1">
      <alignment horizontal="center" vertical="top"/>
    </xf>
    <xf numFmtId="0" fontId="0" fillId="0" borderId="0" xfId="1" applyNumberFormat="1" applyFont="1" applyProtection="1"/>
    <xf numFmtId="0" fontId="0" fillId="0" borderId="0" xfId="1" applyNumberFormat="1" applyFont="1"/>
    <xf numFmtId="49" fontId="27" fillId="20" borderId="45" xfId="0" applyNumberFormat="1" applyFont="1" applyFill="1" applyBorder="1"/>
    <xf numFmtId="49" fontId="27" fillId="0" borderId="42" xfId="0" applyNumberFormat="1" applyFont="1" applyBorder="1" applyAlignment="1">
      <alignment horizontal="center"/>
    </xf>
    <xf numFmtId="49" fontId="27" fillId="0" borderId="41" xfId="0" applyNumberFormat="1" applyFont="1" applyBorder="1" applyAlignment="1">
      <alignment horizontal="center"/>
    </xf>
    <xf numFmtId="49" fontId="27" fillId="23" borderId="9" xfId="0" applyNumberFormat="1" applyFont="1" applyFill="1" applyBorder="1" applyAlignment="1">
      <alignment horizontal="left" vertical="top"/>
    </xf>
    <xf numFmtId="49" fontId="27" fillId="0" borderId="0" xfId="0" applyNumberFormat="1" applyFont="1" applyAlignment="1">
      <alignment horizontal="left" vertical="top"/>
    </xf>
    <xf numFmtId="49" fontId="1" fillId="0" borderId="0" xfId="0" applyNumberFormat="1" applyFont="1" applyAlignment="1">
      <alignment horizontal="center"/>
    </xf>
    <xf numFmtId="4" fontId="29" fillId="0" borderId="35" xfId="1" applyNumberFormat="1" applyFont="1" applyBorder="1" applyAlignment="1" applyProtection="1">
      <alignment horizontal="center"/>
    </xf>
    <xf numFmtId="4" fontId="29" fillId="0" borderId="44" xfId="1" applyNumberFormat="1" applyFont="1" applyBorder="1" applyAlignment="1" applyProtection="1">
      <alignment horizontal="center"/>
    </xf>
    <xf numFmtId="4" fontId="29" fillId="0" borderId="72" xfId="1" applyNumberFormat="1" applyFont="1" applyBorder="1" applyAlignment="1" applyProtection="1">
      <alignment horizontal="center"/>
    </xf>
    <xf numFmtId="0" fontId="0" fillId="17" borderId="50" xfId="0" applyFill="1" applyBorder="1" applyAlignment="1">
      <alignment horizontal="center"/>
    </xf>
    <xf numFmtId="0" fontId="18" fillId="17" borderId="54" xfId="14" applyFont="1" applyFill="1" applyBorder="1" applyAlignment="1">
      <alignment wrapText="1"/>
    </xf>
    <xf numFmtId="2" fontId="57" fillId="17" borderId="54" xfId="14" applyNumberFormat="1" applyFont="1" applyFill="1" applyBorder="1" applyAlignment="1">
      <alignment horizontal="right" wrapText="1"/>
    </xf>
    <xf numFmtId="1" fontId="57" fillId="17" borderId="54" xfId="14" applyNumberFormat="1" applyFont="1" applyFill="1" applyBorder="1" applyAlignment="1">
      <alignment horizontal="right" wrapText="1"/>
    </xf>
    <xf numFmtId="0" fontId="18" fillId="17" borderId="54" xfId="14" applyFont="1" applyFill="1" applyBorder="1" applyAlignment="1">
      <alignment horizontal="center" wrapText="1"/>
    </xf>
    <xf numFmtId="0" fontId="18" fillId="17" borderId="56" xfId="14" applyFont="1" applyFill="1" applyBorder="1" applyAlignment="1">
      <alignment wrapText="1"/>
    </xf>
    <xf numFmtId="16" fontId="27" fillId="17" borderId="26" xfId="0" applyNumberFormat="1" applyFont="1" applyFill="1" applyBorder="1" applyAlignment="1" applyProtection="1">
      <alignment horizontal="center" vertical="center"/>
      <protection locked="0"/>
    </xf>
    <xf numFmtId="0" fontId="61" fillId="0" borderId="0" xfId="0" applyFont="1" applyAlignment="1">
      <alignment horizontal="left" vertical="top" wrapText="1"/>
    </xf>
    <xf numFmtId="0" fontId="42" fillId="0" borderId="0" xfId="0" applyFont="1" applyAlignment="1">
      <alignment horizontal="center" vertical="center"/>
    </xf>
    <xf numFmtId="0" fontId="29" fillId="0" borderId="0" xfId="0" applyFont="1" applyAlignment="1">
      <alignment horizontal="left" vertical="center"/>
    </xf>
    <xf numFmtId="0" fontId="59" fillId="0" borderId="0" xfId="0" applyFont="1" applyAlignment="1">
      <alignment vertical="center"/>
    </xf>
    <xf numFmtId="0" fontId="59" fillId="0" borderId="0" xfId="0" applyFont="1" applyAlignment="1">
      <alignment vertical="top"/>
    </xf>
    <xf numFmtId="0" fontId="0" fillId="34" borderId="50" xfId="0" applyFill="1" applyBorder="1" applyAlignment="1">
      <alignment horizontal="center"/>
    </xf>
    <xf numFmtId="0" fontId="18" fillId="34" borderId="54" xfId="14" applyFont="1" applyFill="1" applyBorder="1" applyAlignment="1">
      <alignment wrapText="1"/>
    </xf>
    <xf numFmtId="2" fontId="57" fillId="34" borderId="54" xfId="14" applyNumberFormat="1" applyFont="1" applyFill="1" applyBorder="1" applyAlignment="1">
      <alignment horizontal="right" wrapText="1"/>
    </xf>
    <xf numFmtId="1" fontId="57" fillId="34" borderId="54" xfId="14" applyNumberFormat="1" applyFont="1" applyFill="1" applyBorder="1" applyAlignment="1">
      <alignment horizontal="right" wrapText="1"/>
    </xf>
    <xf numFmtId="0" fontId="18" fillId="34" borderId="54" xfId="14" applyFont="1" applyFill="1" applyBorder="1" applyAlignment="1">
      <alignment horizontal="center" wrapText="1"/>
    </xf>
    <xf numFmtId="0" fontId="18" fillId="34" borderId="56" xfId="14" applyFont="1" applyFill="1" applyBorder="1" applyAlignment="1">
      <alignment wrapText="1"/>
    </xf>
    <xf numFmtId="0" fontId="67" fillId="0" borderId="0" xfId="0" applyFont="1"/>
    <xf numFmtId="0" fontId="66" fillId="0" borderId="0" xfId="0" applyFont="1"/>
    <xf numFmtId="0" fontId="67" fillId="0" borderId="0" xfId="0" applyFont="1" applyAlignment="1">
      <alignment vertical="center"/>
    </xf>
    <xf numFmtId="0" fontId="67" fillId="0" borderId="0" xfId="0" applyFont="1" applyAlignment="1">
      <alignment vertical="top"/>
    </xf>
    <xf numFmtId="37" fontId="29" fillId="0" borderId="85" xfId="1" applyNumberFormat="1" applyFont="1" applyBorder="1" applyAlignment="1">
      <alignment horizontal="center" vertical="top"/>
    </xf>
    <xf numFmtId="37" fontId="29" fillId="0" borderId="88" xfId="1" applyNumberFormat="1" applyFont="1" applyBorder="1" applyAlignment="1">
      <alignment horizontal="center" vertical="top"/>
    </xf>
    <xf numFmtId="0" fontId="27" fillId="0" borderId="81" xfId="0" applyFont="1" applyBorder="1" applyAlignment="1">
      <alignment vertical="center"/>
    </xf>
    <xf numFmtId="0" fontId="27" fillId="19" borderId="0" xfId="0" applyFont="1" applyFill="1" applyAlignment="1">
      <alignment wrapText="1"/>
    </xf>
    <xf numFmtId="0" fontId="31" fillId="19" borderId="0" xfId="0" applyFont="1" applyFill="1" applyAlignment="1">
      <alignment horizontal="center" wrapText="1"/>
    </xf>
    <xf numFmtId="0" fontId="31" fillId="19" borderId="0" xfId="0" applyFont="1" applyFill="1" applyAlignment="1">
      <alignment horizontal="left" wrapText="1"/>
    </xf>
    <xf numFmtId="0" fontId="27" fillId="0" borderId="89" xfId="0" applyFont="1" applyBorder="1" applyAlignment="1">
      <alignment vertical="top"/>
    </xf>
    <xf numFmtId="0" fontId="27" fillId="0" borderId="86" xfId="0" applyFont="1" applyBorder="1" applyAlignment="1">
      <alignment horizontal="left" vertical="center"/>
    </xf>
    <xf numFmtId="0" fontId="29" fillId="0" borderId="88" xfId="0" applyFont="1" applyBorder="1" applyAlignment="1">
      <alignment horizontal="center" vertical="center"/>
    </xf>
    <xf numFmtId="0" fontId="29" fillId="0" borderId="0" xfId="0" applyFont="1" applyAlignment="1">
      <alignment horizontal="center" vertical="center"/>
    </xf>
    <xf numFmtId="0" fontId="29" fillId="0" borderId="83" xfId="0" applyFont="1" applyBorder="1" applyAlignment="1">
      <alignment horizontal="center" vertical="center"/>
    </xf>
    <xf numFmtId="0" fontId="29" fillId="0" borderId="85" xfId="0" applyFont="1" applyBorder="1" applyAlignment="1">
      <alignment horizontal="center" vertical="center"/>
    </xf>
    <xf numFmtId="37" fontId="29" fillId="0" borderId="85" xfId="1" applyNumberFormat="1" applyFont="1" applyBorder="1" applyAlignment="1">
      <alignment horizontal="center" vertical="center"/>
    </xf>
    <xf numFmtId="37" fontId="29" fillId="0" borderId="83" xfId="1" applyNumberFormat="1" applyFont="1" applyBorder="1" applyAlignment="1">
      <alignment horizontal="center" vertical="center"/>
    </xf>
    <xf numFmtId="0" fontId="27" fillId="0" borderId="81" xfId="0" applyFont="1" applyBorder="1" applyAlignment="1">
      <alignment horizontal="left" vertical="center"/>
    </xf>
    <xf numFmtId="37" fontId="59" fillId="0" borderId="0" xfId="1" applyNumberFormat="1" applyFont="1" applyAlignment="1">
      <alignment horizontal="center" vertical="top"/>
    </xf>
    <xf numFmtId="0" fontId="59" fillId="0" borderId="0" xfId="0" applyFont="1" applyAlignment="1">
      <alignment horizontal="center" vertical="center"/>
    </xf>
    <xf numFmtId="0" fontId="31" fillId="0" borderId="0" xfId="0" applyFont="1" applyAlignment="1">
      <alignment wrapText="1"/>
    </xf>
    <xf numFmtId="0" fontId="31" fillId="0" borderId="0" xfId="0" applyFont="1" applyAlignment="1">
      <alignment horizontal="center" wrapText="1"/>
    </xf>
    <xf numFmtId="0" fontId="68" fillId="0" borderId="0" xfId="0" applyFont="1" applyAlignment="1">
      <alignment horizontal="center" vertical="center"/>
    </xf>
    <xf numFmtId="1" fontId="67" fillId="0" borderId="0" xfId="0" applyNumberFormat="1" applyFont="1" applyAlignment="1">
      <alignment horizontal="center" vertical="top"/>
    </xf>
    <xf numFmtId="37" fontId="59" fillId="0" borderId="0" xfId="1" applyNumberFormat="1" applyFont="1" applyBorder="1" applyAlignment="1">
      <alignment vertical="top"/>
    </xf>
    <xf numFmtId="37" fontId="71" fillId="0" borderId="81" xfId="1" applyNumberFormat="1" applyFont="1" applyBorder="1" applyAlignment="1">
      <alignment horizontal="left" vertical="top"/>
    </xf>
    <xf numFmtId="0" fontId="71" fillId="0" borderId="86" xfId="0" applyFont="1" applyBorder="1" applyAlignment="1">
      <alignment horizontal="left" vertical="center"/>
    </xf>
    <xf numFmtId="0" fontId="52" fillId="0" borderId="0" xfId="0" applyFont="1" applyAlignment="1">
      <alignment vertical="center"/>
    </xf>
    <xf numFmtId="0" fontId="53" fillId="0" borderId="0" xfId="0" applyFont="1" applyAlignment="1">
      <alignment vertical="center"/>
    </xf>
    <xf numFmtId="14" fontId="52" fillId="0" borderId="0" xfId="0" applyNumberFormat="1" applyFont="1" applyAlignment="1">
      <alignment vertical="center"/>
    </xf>
    <xf numFmtId="0" fontId="52" fillId="0" borderId="0" xfId="2" applyFont="1" applyAlignment="1">
      <alignment vertical="center"/>
    </xf>
    <xf numFmtId="0" fontId="52" fillId="0" borderId="0" xfId="3" applyFont="1" applyAlignment="1">
      <alignment vertical="center"/>
    </xf>
    <xf numFmtId="0" fontId="52" fillId="0" borderId="0" xfId="0" applyFont="1" applyAlignment="1">
      <alignment vertical="top"/>
    </xf>
    <xf numFmtId="0" fontId="52" fillId="0" borderId="0" xfId="4" applyFont="1"/>
    <xf numFmtId="0" fontId="52" fillId="0" borderId="0" xfId="5" applyFont="1"/>
    <xf numFmtId="0" fontId="73" fillId="0" borderId="0" xfId="0" applyFont="1"/>
    <xf numFmtId="0" fontId="74" fillId="0" borderId="0" xfId="0" applyFont="1" applyAlignment="1" applyProtection="1">
      <alignment horizontal="center"/>
      <protection hidden="1"/>
    </xf>
    <xf numFmtId="0" fontId="76" fillId="0" borderId="0" xfId="0" applyFont="1"/>
    <xf numFmtId="0" fontId="77" fillId="0" borderId="0" xfId="0" applyFont="1"/>
    <xf numFmtId="1" fontId="29" fillId="0" borderId="0" xfId="0" applyNumberFormat="1" applyFont="1" applyAlignment="1" applyProtection="1">
      <alignment horizontal="center" vertical="center"/>
      <protection hidden="1"/>
    </xf>
    <xf numFmtId="0" fontId="78" fillId="0" borderId="0" xfId="0" applyFont="1" applyAlignment="1">
      <alignment vertical="center"/>
    </xf>
    <xf numFmtId="0" fontId="79" fillId="0" borderId="0" xfId="0" applyFont="1" applyAlignment="1">
      <alignment vertical="center"/>
    </xf>
    <xf numFmtId="1" fontId="29" fillId="0" borderId="0" xfId="0" applyNumberFormat="1" applyFont="1" applyAlignment="1">
      <alignment horizontal="left" vertical="center"/>
    </xf>
    <xf numFmtId="1" fontId="29" fillId="0" borderId="0" xfId="0" applyNumberFormat="1" applyFont="1" applyAlignment="1">
      <alignment vertical="center"/>
    </xf>
    <xf numFmtId="37" fontId="72" fillId="0" borderId="0" xfId="1" applyNumberFormat="1" applyFont="1" applyBorder="1" applyAlignment="1">
      <alignment horizontal="left" vertical="top"/>
    </xf>
    <xf numFmtId="0" fontId="72" fillId="0" borderId="0" xfId="0" applyFont="1" applyAlignment="1">
      <alignment horizontal="left" vertical="center"/>
    </xf>
    <xf numFmtId="0" fontId="2" fillId="38" borderId="10" xfId="0" applyFont="1" applyFill="1" applyBorder="1" applyAlignment="1">
      <alignment horizontal="center"/>
    </xf>
    <xf numFmtId="0" fontId="2" fillId="38" borderId="10" xfId="0" applyFont="1" applyFill="1" applyBorder="1" applyAlignment="1">
      <alignment horizontal="left"/>
    </xf>
    <xf numFmtId="0" fontId="2" fillId="0" borderId="9" xfId="0" applyFont="1" applyBorder="1"/>
    <xf numFmtId="0" fontId="2" fillId="0" borderId="11" xfId="0" applyFont="1" applyBorder="1" applyAlignment="1">
      <alignment horizontal="left" vertical="top" indent="4"/>
    </xf>
    <xf numFmtId="0" fontId="2" fillId="0" borderId="27" xfId="0" applyFont="1" applyBorder="1" applyAlignment="1">
      <alignment horizontal="center"/>
    </xf>
    <xf numFmtId="0" fontId="81" fillId="0" borderId="0" xfId="0" applyFont="1" applyAlignment="1">
      <alignment horizontal="center" vertical="center"/>
    </xf>
    <xf numFmtId="0" fontId="80" fillId="0" borderId="0" xfId="0" applyFont="1" applyAlignment="1">
      <alignment vertical="center"/>
    </xf>
    <xf numFmtId="0" fontId="15" fillId="30" borderId="16" xfId="0" applyFont="1" applyFill="1" applyBorder="1" applyAlignment="1">
      <alignment vertical="center"/>
    </xf>
    <xf numFmtId="0" fontId="34" fillId="30" borderId="0" xfId="16" applyFont="1" applyFill="1" applyAlignment="1">
      <alignment horizontal="center"/>
    </xf>
    <xf numFmtId="0" fontId="1" fillId="30" borderId="0" xfId="16" applyFont="1" applyFill="1" applyAlignment="1">
      <alignment vertical="center"/>
    </xf>
    <xf numFmtId="0" fontId="2" fillId="26" borderId="0" xfId="16" applyFill="1"/>
    <xf numFmtId="166" fontId="29" fillId="19" borderId="35" xfId="0" applyNumberFormat="1" applyFont="1" applyFill="1" applyBorder="1" applyAlignment="1">
      <alignment horizontal="center"/>
    </xf>
    <xf numFmtId="1" fontId="29" fillId="19" borderId="35" xfId="0" applyNumberFormat="1" applyFont="1" applyFill="1" applyBorder="1" applyAlignment="1">
      <alignment horizontal="center"/>
    </xf>
    <xf numFmtId="0" fontId="2" fillId="25" borderId="95" xfId="0" applyFont="1" applyFill="1" applyBorder="1" applyAlignment="1">
      <alignment horizontal="left"/>
    </xf>
    <xf numFmtId="0" fontId="2" fillId="25" borderId="10" xfId="0" applyFont="1" applyFill="1" applyBorder="1" applyAlignment="1">
      <alignment horizontal="left"/>
    </xf>
    <xf numFmtId="0" fontId="2" fillId="25" borderId="11" xfId="0" applyFont="1" applyFill="1" applyBorder="1" applyAlignment="1">
      <alignment horizontal="left"/>
    </xf>
    <xf numFmtId="43" fontId="0" fillId="25" borderId="16" xfId="1" applyFont="1" applyFill="1" applyBorder="1" applyAlignment="1">
      <alignment horizontal="center"/>
    </xf>
    <xf numFmtId="169" fontId="0" fillId="9" borderId="54" xfId="1" applyNumberFormat="1" applyFont="1" applyFill="1" applyBorder="1" applyAlignment="1">
      <alignment horizontal="center"/>
    </xf>
    <xf numFmtId="43" fontId="0" fillId="2" borderId="54" xfId="1" applyFont="1" applyFill="1" applyBorder="1" applyAlignment="1">
      <alignment horizontal="center"/>
    </xf>
    <xf numFmtId="167" fontId="0" fillId="0" borderId="54" xfId="1" applyNumberFormat="1" applyFont="1" applyBorder="1" applyAlignment="1">
      <alignment horizontal="center"/>
    </xf>
    <xf numFmtId="169" fontId="0" fillId="9" borderId="55" xfId="1" applyNumberFormat="1" applyFont="1" applyFill="1" applyBorder="1" applyAlignment="1">
      <alignment horizontal="center"/>
    </xf>
    <xf numFmtId="0" fontId="0" fillId="9" borderId="55" xfId="0" applyFill="1" applyBorder="1" applyAlignment="1">
      <alignment horizontal="center"/>
    </xf>
    <xf numFmtId="43" fontId="0" fillId="2" borderId="55" xfId="1" applyFont="1" applyFill="1" applyBorder="1" applyAlignment="1">
      <alignment horizontal="center"/>
    </xf>
    <xf numFmtId="167" fontId="0" fillId="0" borderId="55" xfId="1" applyNumberFormat="1" applyFont="1" applyBorder="1" applyAlignment="1">
      <alignment horizontal="center"/>
    </xf>
    <xf numFmtId="169" fontId="0" fillId="9" borderId="53" xfId="1" applyNumberFormat="1" applyFont="1" applyFill="1" applyBorder="1" applyAlignment="1">
      <alignment horizontal="center"/>
    </xf>
    <xf numFmtId="0" fontId="0" fillId="9" borderId="53" xfId="0" applyFill="1" applyBorder="1" applyAlignment="1">
      <alignment horizontal="center"/>
    </xf>
    <xf numFmtId="43" fontId="0" fillId="2" borderId="53" xfId="1" applyFont="1" applyFill="1" applyBorder="1" applyAlignment="1">
      <alignment horizontal="center"/>
    </xf>
    <xf numFmtId="49" fontId="61" fillId="22" borderId="10" xfId="0" applyNumberFormat="1" applyFont="1" applyFill="1" applyBorder="1" applyAlignment="1">
      <alignment horizontal="left" vertical="top" indent="1"/>
    </xf>
    <xf numFmtId="49" fontId="61" fillId="22" borderId="11" xfId="0" applyNumberFormat="1" applyFont="1" applyFill="1" applyBorder="1" applyAlignment="1">
      <alignment horizontal="left" vertical="top" indent="1"/>
    </xf>
    <xf numFmtId="0" fontId="60" fillId="22" borderId="15" xfId="0" applyFont="1" applyFill="1" applyBorder="1" applyAlignment="1">
      <alignment horizontal="left" vertical="top"/>
    </xf>
    <xf numFmtId="0" fontId="83" fillId="22" borderId="15" xfId="0" applyFont="1" applyFill="1" applyBorder="1" applyAlignment="1">
      <alignment horizontal="left" vertical="top"/>
    </xf>
    <xf numFmtId="0" fontId="60" fillId="22" borderId="16" xfId="0" applyFont="1" applyFill="1" applyBorder="1" applyAlignment="1">
      <alignment horizontal="left" vertical="top"/>
    </xf>
    <xf numFmtId="0" fontId="2" fillId="0" borderId="0" xfId="16" applyAlignment="1">
      <alignment horizontal="center" wrapText="1"/>
    </xf>
    <xf numFmtId="0" fontId="51" fillId="0" borderId="15" xfId="0" applyFont="1" applyBorder="1" applyAlignment="1">
      <alignment horizontal="left" vertical="top" textRotation="90"/>
    </xf>
    <xf numFmtId="0" fontId="1" fillId="0" borderId="97" xfId="0" applyFont="1" applyBorder="1" applyAlignment="1">
      <alignment horizontal="center"/>
    </xf>
    <xf numFmtId="0" fontId="26" fillId="0" borderId="97" xfId="0" applyFont="1" applyBorder="1" applyAlignment="1">
      <alignment horizontal="center"/>
    </xf>
    <xf numFmtId="0" fontId="13" fillId="0" borderId="97" xfId="0" applyFont="1" applyBorder="1" applyAlignment="1">
      <alignment horizontal="center"/>
    </xf>
    <xf numFmtId="0" fontId="0" fillId="0" borderId="97" xfId="0" applyBorder="1" applyAlignment="1">
      <alignment horizontal="center"/>
    </xf>
    <xf numFmtId="165" fontId="0" fillId="0" borderId="97" xfId="1" applyNumberFormat="1" applyFont="1" applyBorder="1" applyAlignment="1">
      <alignment horizontal="center"/>
    </xf>
    <xf numFmtId="0" fontId="1" fillId="0" borderId="0" xfId="0" applyFont="1" applyAlignment="1">
      <alignment horizontal="left" wrapText="1"/>
    </xf>
    <xf numFmtId="0" fontId="0" fillId="0" borderId="0" xfId="0" applyAlignment="1">
      <alignment horizontal="center" vertical="center"/>
    </xf>
    <xf numFmtId="169" fontId="0" fillId="0" borderId="54" xfId="1" applyNumberFormat="1" applyFont="1" applyBorder="1" applyAlignment="1"/>
    <xf numFmtId="169" fontId="0" fillId="0" borderId="55" xfId="1" applyNumberFormat="1" applyFont="1" applyBorder="1" applyAlignment="1"/>
    <xf numFmtId="169" fontId="0" fillId="0" borderId="53" xfId="1" applyNumberFormat="1" applyFont="1" applyBorder="1" applyAlignment="1"/>
    <xf numFmtId="0" fontId="28" fillId="0" borderId="0" xfId="0" applyFont="1" applyAlignment="1">
      <alignment horizontal="center"/>
    </xf>
    <xf numFmtId="0" fontId="25" fillId="0" borderId="100" xfId="0" applyFont="1" applyBorder="1" applyAlignment="1">
      <alignment horizontal="center"/>
    </xf>
    <xf numFmtId="0" fontId="25" fillId="0" borderId="93" xfId="0" applyFont="1" applyBorder="1" applyAlignment="1">
      <alignment horizontal="center"/>
    </xf>
    <xf numFmtId="0" fontId="23" fillId="0" borderId="0" xfId="1" applyNumberFormat="1" applyFont="1" applyFill="1" applyBorder="1" applyAlignment="1" applyProtection="1">
      <alignment horizontal="right"/>
    </xf>
    <xf numFmtId="38" fontId="2" fillId="38" borderId="15" xfId="1" applyNumberFormat="1" applyFont="1" applyFill="1" applyBorder="1" applyAlignment="1" applyProtection="1">
      <alignment horizontal="center"/>
      <protection locked="0"/>
    </xf>
    <xf numFmtId="164" fontId="1" fillId="0" borderId="59" xfId="1" applyNumberFormat="1" applyFont="1" applyBorder="1" applyAlignment="1">
      <alignment wrapText="1"/>
    </xf>
    <xf numFmtId="43" fontId="1" fillId="9" borderId="59" xfId="1" applyFont="1" applyFill="1" applyBorder="1" applyAlignment="1">
      <alignment horizontal="center" wrapText="1"/>
    </xf>
    <xf numFmtId="165" fontId="1" fillId="9" borderId="59" xfId="1" applyNumberFormat="1" applyFont="1" applyFill="1" applyBorder="1" applyAlignment="1">
      <alignment horizontal="center" wrapText="1"/>
    </xf>
    <xf numFmtId="0" fontId="1" fillId="9" borderId="59" xfId="0" applyFont="1" applyFill="1" applyBorder="1" applyAlignment="1">
      <alignment horizontal="center" wrapText="1"/>
    </xf>
    <xf numFmtId="43" fontId="1" fillId="2" borderId="59" xfId="1" applyFont="1" applyFill="1" applyBorder="1" applyAlignment="1">
      <alignment horizontal="center" wrapText="1"/>
    </xf>
    <xf numFmtId="167" fontId="1" fillId="0" borderId="59" xfId="0" applyNumberFormat="1" applyFont="1" applyBorder="1" applyAlignment="1">
      <alignment horizontal="center" wrapText="1"/>
    </xf>
    <xf numFmtId="0" fontId="0" fillId="40" borderId="50" xfId="0" applyFill="1" applyBorder="1" applyAlignment="1">
      <alignment horizontal="center"/>
    </xf>
    <xf numFmtId="0" fontId="18" fillId="40" borderId="54" xfId="14" applyFont="1" applyFill="1" applyBorder="1" applyAlignment="1">
      <alignment wrapText="1"/>
    </xf>
    <xf numFmtId="2" fontId="18" fillId="40" borderId="54" xfId="14" applyNumberFormat="1" applyFont="1" applyFill="1" applyBorder="1" applyAlignment="1">
      <alignment horizontal="right" wrapText="1"/>
    </xf>
    <xf numFmtId="2" fontId="57" fillId="40" borderId="54" xfId="14" applyNumberFormat="1" applyFont="1" applyFill="1" applyBorder="1" applyAlignment="1">
      <alignment horizontal="right" wrapText="1"/>
    </xf>
    <xf numFmtId="1" fontId="57" fillId="40" borderId="54" xfId="14" applyNumberFormat="1" applyFont="1" applyFill="1" applyBorder="1" applyAlignment="1">
      <alignment horizontal="right" wrapText="1"/>
    </xf>
    <xf numFmtId="0" fontId="18" fillId="40" borderId="54" xfId="14" applyFont="1" applyFill="1" applyBorder="1" applyAlignment="1">
      <alignment horizontal="center" wrapText="1"/>
    </xf>
    <xf numFmtId="0" fontId="18" fillId="40" borderId="56" xfId="14" applyFont="1" applyFill="1" applyBorder="1" applyAlignment="1">
      <alignment wrapText="1"/>
    </xf>
    <xf numFmtId="0" fontId="1" fillId="0" borderId="10" xfId="0" applyFont="1" applyBorder="1" applyAlignment="1">
      <alignment horizontal="center"/>
    </xf>
    <xf numFmtId="0" fontId="12" fillId="0" borderId="0" xfId="0" applyFont="1" applyAlignment="1">
      <alignment horizontal="center"/>
    </xf>
    <xf numFmtId="0" fontId="0" fillId="8" borderId="36" xfId="0" applyFill="1" applyBorder="1" applyAlignment="1" applyProtection="1">
      <alignment horizontal="center" vertical="center"/>
      <protection locked="0"/>
    </xf>
    <xf numFmtId="0" fontId="0" fillId="8" borderId="107" xfId="0" applyFill="1" applyBorder="1" applyAlignment="1" applyProtection="1">
      <alignment horizontal="center" vertical="center"/>
      <protection locked="0"/>
    </xf>
    <xf numFmtId="0" fontId="0" fillId="8" borderId="38" xfId="0" applyFill="1" applyBorder="1" applyAlignment="1" applyProtection="1">
      <alignment horizontal="center" vertical="center"/>
      <protection locked="0"/>
    </xf>
    <xf numFmtId="0" fontId="0" fillId="8" borderId="72" xfId="0" applyFill="1" applyBorder="1" applyAlignment="1" applyProtection="1">
      <alignment horizontal="center" vertical="center"/>
      <protection locked="0"/>
    </xf>
    <xf numFmtId="0" fontId="2" fillId="19" borderId="42" xfId="0" applyFont="1" applyFill="1" applyBorder="1" applyAlignment="1">
      <alignment horizontal="left" vertical="center" wrapText="1"/>
    </xf>
    <xf numFmtId="0" fontId="0" fillId="8" borderId="43" xfId="0" applyFill="1" applyBorder="1" applyAlignment="1" applyProtection="1">
      <alignment horizontal="center" vertical="center"/>
      <protection locked="0"/>
    </xf>
    <xf numFmtId="0" fontId="2" fillId="8" borderId="43" xfId="0" applyFont="1" applyFill="1" applyBorder="1" applyAlignment="1" applyProtection="1">
      <alignment horizontal="center" vertical="center"/>
      <protection locked="0"/>
    </xf>
    <xf numFmtId="0" fontId="0" fillId="8" borderId="44" xfId="0" applyFill="1" applyBorder="1" applyAlignment="1" applyProtection="1">
      <alignment horizontal="center" vertical="center"/>
      <protection locked="0"/>
    </xf>
    <xf numFmtId="0" fontId="1" fillId="0" borderId="111" xfId="0" applyFont="1" applyBorder="1" applyAlignment="1">
      <alignment horizontal="left" wrapText="1"/>
    </xf>
    <xf numFmtId="0" fontId="1" fillId="18" borderId="112" xfId="0" applyFont="1" applyFill="1" applyBorder="1" applyAlignment="1" applyProtection="1">
      <alignment horizontal="center" wrapText="1"/>
      <protection locked="0"/>
    </xf>
    <xf numFmtId="0" fontId="1" fillId="18" borderId="113" xfId="0" applyFont="1" applyFill="1" applyBorder="1" applyAlignment="1" applyProtection="1">
      <alignment horizontal="center" wrapText="1"/>
      <protection locked="0"/>
    </xf>
    <xf numFmtId="0" fontId="2" fillId="19" borderId="114" xfId="0" applyFont="1" applyFill="1" applyBorder="1" applyAlignment="1">
      <alignment horizontal="left" vertical="center" wrapText="1"/>
    </xf>
    <xf numFmtId="0" fontId="1" fillId="18" borderId="115" xfId="0" applyFont="1" applyFill="1" applyBorder="1" applyAlignment="1">
      <alignment horizontal="center"/>
    </xf>
    <xf numFmtId="0" fontId="1" fillId="18" borderId="55" xfId="0" applyFont="1" applyFill="1" applyBorder="1" applyAlignment="1">
      <alignment horizontal="center" wrapText="1"/>
    </xf>
    <xf numFmtId="0" fontId="1" fillId="0" borderId="52" xfId="0" applyFont="1" applyBorder="1" applyAlignment="1">
      <alignment horizontal="center"/>
    </xf>
    <xf numFmtId="0" fontId="1" fillId="0" borderId="50" xfId="0" applyFont="1" applyBorder="1" applyAlignment="1">
      <alignment horizontal="center"/>
    </xf>
    <xf numFmtId="0" fontId="1" fillId="0" borderId="51" xfId="0" applyFont="1" applyBorder="1" applyAlignment="1">
      <alignment horizontal="center"/>
    </xf>
    <xf numFmtId="0" fontId="1" fillId="16" borderId="109" xfId="0" applyFont="1" applyFill="1" applyBorder="1" applyAlignment="1">
      <alignment horizontal="center"/>
    </xf>
    <xf numFmtId="0" fontId="1" fillId="16" borderId="110" xfId="0" applyFont="1" applyFill="1" applyBorder="1" applyAlignment="1">
      <alignment horizontal="center"/>
    </xf>
    <xf numFmtId="0" fontId="1" fillId="0" borderId="15" xfId="0" applyFont="1" applyBorder="1" applyAlignment="1">
      <alignment horizontal="center"/>
    </xf>
    <xf numFmtId="0" fontId="1" fillId="0" borderId="117" xfId="0" applyFont="1" applyBorder="1" applyAlignment="1">
      <alignment horizontal="center"/>
    </xf>
    <xf numFmtId="0" fontId="1" fillId="0" borderId="118" xfId="0" applyFont="1" applyBorder="1" applyAlignment="1">
      <alignment horizontal="center"/>
    </xf>
    <xf numFmtId="0" fontId="18" fillId="0" borderId="50" xfId="10" applyFont="1" applyBorder="1" applyAlignment="1">
      <alignment horizontal="center" wrapText="1"/>
    </xf>
    <xf numFmtId="0" fontId="18" fillId="0" borderId="56" xfId="10" applyFont="1" applyBorder="1" applyAlignment="1">
      <alignment horizontal="center" wrapText="1"/>
    </xf>
    <xf numFmtId="0" fontId="18" fillId="0" borderId="51" xfId="10" applyFont="1" applyBorder="1" applyAlignment="1">
      <alignment horizontal="center" wrapText="1"/>
    </xf>
    <xf numFmtId="0" fontId="18" fillId="0" borderId="57" xfId="10" applyFont="1" applyBorder="1" applyAlignment="1">
      <alignment horizontal="center" wrapText="1"/>
    </xf>
    <xf numFmtId="0" fontId="18" fillId="0" borderId="52" xfId="10" applyFont="1" applyBorder="1" applyAlignment="1">
      <alignment horizontal="center" wrapText="1"/>
    </xf>
    <xf numFmtId="0" fontId="18" fillId="0" borderId="61" xfId="10" applyFont="1" applyBorder="1" applyAlignment="1">
      <alignment horizontal="center" wrapText="1"/>
    </xf>
    <xf numFmtId="0" fontId="1" fillId="32" borderId="51" xfId="0" applyFont="1" applyFill="1" applyBorder="1" applyAlignment="1">
      <alignment horizontal="center" wrapText="1"/>
    </xf>
    <xf numFmtId="0" fontId="1" fillId="32" borderId="55" xfId="0" applyFont="1" applyFill="1" applyBorder="1" applyAlignment="1">
      <alignment horizontal="center" wrapText="1"/>
    </xf>
    <xf numFmtId="0" fontId="1" fillId="32" borderId="57" xfId="0" applyFont="1" applyFill="1" applyBorder="1" applyAlignment="1">
      <alignment horizontal="center" wrapText="1"/>
    </xf>
    <xf numFmtId="165" fontId="0" fillId="32" borderId="50" xfId="1" applyNumberFormat="1" applyFont="1" applyFill="1" applyBorder="1"/>
    <xf numFmtId="165" fontId="0" fillId="32" borderId="54" xfId="1" applyNumberFormat="1" applyFont="1" applyFill="1" applyBorder="1"/>
    <xf numFmtId="165" fontId="0" fillId="32" borderId="56" xfId="1" applyNumberFormat="1" applyFont="1" applyFill="1" applyBorder="1"/>
    <xf numFmtId="165" fontId="0" fillId="32" borderId="51" xfId="1" applyNumberFormat="1" applyFont="1" applyFill="1" applyBorder="1"/>
    <xf numFmtId="165" fontId="0" fillId="32" borderId="55" xfId="1" applyNumberFormat="1" applyFont="1" applyFill="1" applyBorder="1"/>
    <xf numFmtId="165" fontId="0" fillId="32" borderId="57" xfId="1" applyNumberFormat="1" applyFont="1" applyFill="1" applyBorder="1"/>
    <xf numFmtId="0" fontId="1" fillId="17" borderId="51" xfId="0" applyFont="1" applyFill="1" applyBorder="1" applyAlignment="1">
      <alignment horizontal="center" wrapText="1"/>
    </xf>
    <xf numFmtId="0" fontId="1" fillId="17" borderId="55" xfId="0" applyFont="1" applyFill="1" applyBorder="1" applyAlignment="1">
      <alignment horizontal="center" wrapText="1"/>
    </xf>
    <xf numFmtId="0" fontId="1" fillId="17" borderId="57" xfId="0" applyFont="1" applyFill="1" applyBorder="1" applyAlignment="1">
      <alignment horizontal="center" wrapText="1"/>
    </xf>
    <xf numFmtId="165" fontId="0" fillId="17" borderId="50" xfId="1" applyNumberFormat="1" applyFont="1" applyFill="1" applyBorder="1" applyAlignment="1">
      <alignment horizontal="center"/>
    </xf>
    <xf numFmtId="165" fontId="0" fillId="17" borderId="54" xfId="1" applyNumberFormat="1" applyFont="1" applyFill="1" applyBorder="1" applyAlignment="1">
      <alignment horizontal="center"/>
    </xf>
    <xf numFmtId="165" fontId="0" fillId="17" borderId="56" xfId="1" applyNumberFormat="1" applyFont="1" applyFill="1" applyBorder="1" applyAlignment="1">
      <alignment horizontal="center"/>
    </xf>
    <xf numFmtId="165" fontId="0" fillId="17" borderId="51" xfId="1" applyNumberFormat="1" applyFont="1" applyFill="1" applyBorder="1" applyAlignment="1">
      <alignment horizontal="center"/>
    </xf>
    <xf numFmtId="165" fontId="0" fillId="17" borderId="55" xfId="1" applyNumberFormat="1" applyFont="1" applyFill="1" applyBorder="1" applyAlignment="1">
      <alignment horizontal="center"/>
    </xf>
    <xf numFmtId="165" fontId="0" fillId="17" borderId="57" xfId="1" applyNumberFormat="1" applyFont="1" applyFill="1" applyBorder="1" applyAlignment="1">
      <alignment horizontal="center"/>
    </xf>
    <xf numFmtId="0" fontId="1" fillId="22" borderId="51" xfId="0" applyFont="1" applyFill="1" applyBorder="1" applyAlignment="1">
      <alignment horizontal="center" wrapText="1"/>
    </xf>
    <xf numFmtId="0" fontId="1" fillId="22" borderId="55" xfId="0" applyFont="1" applyFill="1" applyBorder="1" applyAlignment="1">
      <alignment horizontal="center" wrapText="1"/>
    </xf>
    <xf numFmtId="0" fontId="1" fillId="22" borderId="57" xfId="0" applyFont="1" applyFill="1" applyBorder="1" applyAlignment="1">
      <alignment horizontal="center" wrapText="1"/>
    </xf>
    <xf numFmtId="0" fontId="0" fillId="22" borderId="52" xfId="0" applyFill="1" applyBorder="1" applyAlignment="1">
      <alignment horizontal="center"/>
    </xf>
    <xf numFmtId="0" fontId="0" fillId="22" borderId="53" xfId="0" applyFill="1" applyBorder="1" applyAlignment="1">
      <alignment horizontal="center"/>
    </xf>
    <xf numFmtId="0" fontId="0" fillId="22" borderId="61" xfId="0" applyFill="1" applyBorder="1" applyAlignment="1">
      <alignment horizontal="center"/>
    </xf>
    <xf numFmtId="0" fontId="0" fillId="22" borderId="50" xfId="0" applyFill="1" applyBorder="1" applyAlignment="1">
      <alignment horizontal="center"/>
    </xf>
    <xf numFmtId="0" fontId="0" fillId="22" borderId="54" xfId="0" applyFill="1" applyBorder="1" applyAlignment="1">
      <alignment horizontal="center"/>
    </xf>
    <xf numFmtId="0" fontId="0" fillId="22" borderId="56" xfId="0" applyFill="1" applyBorder="1" applyAlignment="1">
      <alignment horizontal="center"/>
    </xf>
    <xf numFmtId="0" fontId="0" fillId="22" borderId="51" xfId="0" applyFill="1" applyBorder="1" applyAlignment="1">
      <alignment horizontal="center"/>
    </xf>
    <xf numFmtId="0" fontId="0" fillId="22" borderId="55" xfId="0" applyFill="1" applyBorder="1" applyAlignment="1">
      <alignment horizontal="center"/>
    </xf>
    <xf numFmtId="0" fontId="0" fillId="22" borderId="57" xfId="0" applyFill="1" applyBorder="1" applyAlignment="1">
      <alignment horizontal="center"/>
    </xf>
    <xf numFmtId="0" fontId="1" fillId="42" borderId="51" xfId="0" applyFont="1" applyFill="1" applyBorder="1" applyAlignment="1">
      <alignment horizontal="center" wrapText="1"/>
    </xf>
    <xf numFmtId="0" fontId="1" fillId="42" borderId="55" xfId="0" applyFont="1" applyFill="1" applyBorder="1" applyAlignment="1">
      <alignment horizontal="center" wrapText="1"/>
    </xf>
    <xf numFmtId="0" fontId="1" fillId="42" borderId="57" xfId="0" applyFont="1" applyFill="1" applyBorder="1" applyAlignment="1">
      <alignment horizontal="center" wrapText="1"/>
    </xf>
    <xf numFmtId="0" fontId="0" fillId="42" borderId="52" xfId="0" applyFill="1" applyBorder="1" applyAlignment="1">
      <alignment horizontal="center"/>
    </xf>
    <xf numFmtId="0" fontId="0" fillId="42" borderId="53" xfId="0" applyFill="1" applyBorder="1" applyAlignment="1">
      <alignment horizontal="center"/>
    </xf>
    <xf numFmtId="0" fontId="0" fillId="42" borderId="61" xfId="0" applyFill="1" applyBorder="1" applyAlignment="1">
      <alignment horizontal="center"/>
    </xf>
    <xf numFmtId="0" fontId="0" fillId="42" borderId="50" xfId="0" applyFill="1" applyBorder="1" applyAlignment="1">
      <alignment horizontal="center"/>
    </xf>
    <xf numFmtId="0" fontId="0" fillId="42" borderId="54" xfId="0" applyFill="1" applyBorder="1" applyAlignment="1">
      <alignment horizontal="center"/>
    </xf>
    <xf numFmtId="0" fontId="0" fillId="42" borderId="56" xfId="0" applyFill="1" applyBorder="1" applyAlignment="1">
      <alignment horizontal="center"/>
    </xf>
    <xf numFmtId="0" fontId="0" fillId="42" borderId="51" xfId="0" applyFill="1" applyBorder="1" applyAlignment="1">
      <alignment horizontal="center"/>
    </xf>
    <xf numFmtId="0" fontId="0" fillId="42" borderId="55" xfId="0" applyFill="1" applyBorder="1" applyAlignment="1">
      <alignment horizontal="center"/>
    </xf>
    <xf numFmtId="0" fontId="0" fillId="42" borderId="57" xfId="0" applyFill="1" applyBorder="1" applyAlignment="1">
      <alignment horizontal="center"/>
    </xf>
    <xf numFmtId="0" fontId="1" fillId="40" borderId="51" xfId="0" applyFont="1" applyFill="1" applyBorder="1" applyAlignment="1">
      <alignment horizontal="center" wrapText="1"/>
    </xf>
    <xf numFmtId="0" fontId="1" fillId="40" borderId="55" xfId="0" applyFont="1" applyFill="1" applyBorder="1" applyAlignment="1">
      <alignment horizontal="center" wrapText="1"/>
    </xf>
    <xf numFmtId="0" fontId="1" fillId="40" borderId="57" xfId="0" applyFont="1" applyFill="1" applyBorder="1" applyAlignment="1">
      <alignment horizontal="center" wrapText="1"/>
    </xf>
    <xf numFmtId="0" fontId="0" fillId="40" borderId="52" xfId="0" applyFill="1" applyBorder="1" applyAlignment="1">
      <alignment horizontal="center"/>
    </xf>
    <xf numFmtId="0" fontId="0" fillId="40" borderId="53" xfId="0" applyFill="1" applyBorder="1" applyAlignment="1">
      <alignment horizontal="center"/>
    </xf>
    <xf numFmtId="0" fontId="0" fillId="40" borderId="61" xfId="0" applyFill="1" applyBorder="1" applyAlignment="1">
      <alignment horizontal="center"/>
    </xf>
    <xf numFmtId="0" fontId="0" fillId="40" borderId="54" xfId="0" applyFill="1" applyBorder="1" applyAlignment="1">
      <alignment horizontal="center"/>
    </xf>
    <xf numFmtId="0" fontId="0" fillId="40" borderId="56" xfId="0" applyFill="1" applyBorder="1" applyAlignment="1">
      <alignment horizontal="center"/>
    </xf>
    <xf numFmtId="0" fontId="0" fillId="40" borderId="51" xfId="0" applyFill="1" applyBorder="1" applyAlignment="1">
      <alignment horizontal="center"/>
    </xf>
    <xf numFmtId="0" fontId="0" fillId="40" borderId="55" xfId="0" applyFill="1" applyBorder="1" applyAlignment="1">
      <alignment horizontal="center"/>
    </xf>
    <xf numFmtId="0" fontId="0" fillId="40" borderId="57" xfId="0" applyFill="1" applyBorder="1" applyAlignment="1">
      <alignment horizontal="center"/>
    </xf>
    <xf numFmtId="0" fontId="1" fillId="43" borderId="51" xfId="0" applyFont="1" applyFill="1" applyBorder="1" applyAlignment="1">
      <alignment horizontal="center" wrapText="1"/>
    </xf>
    <xf numFmtId="0" fontId="1" fillId="43" borderId="55" xfId="0" applyFont="1" applyFill="1" applyBorder="1" applyAlignment="1">
      <alignment horizontal="center" wrapText="1"/>
    </xf>
    <xf numFmtId="0" fontId="1" fillId="43" borderId="57" xfId="0" applyFont="1" applyFill="1" applyBorder="1" applyAlignment="1">
      <alignment horizontal="center" wrapText="1"/>
    </xf>
    <xf numFmtId="0" fontId="0" fillId="43" borderId="53" xfId="0" applyFill="1" applyBorder="1" applyAlignment="1">
      <alignment horizontal="center"/>
    </xf>
    <xf numFmtId="0" fontId="0" fillId="43" borderId="61" xfId="0" applyFill="1" applyBorder="1" applyAlignment="1">
      <alignment horizontal="center"/>
    </xf>
    <xf numFmtId="0" fontId="0" fillId="43" borderId="50" xfId="0" applyFill="1" applyBorder="1" applyAlignment="1">
      <alignment horizontal="center"/>
    </xf>
    <xf numFmtId="0" fontId="0" fillId="43" borderId="54" xfId="0" applyFill="1" applyBorder="1" applyAlignment="1">
      <alignment horizontal="center"/>
    </xf>
    <xf numFmtId="0" fontId="0" fillId="43" borderId="56" xfId="0" applyFill="1" applyBorder="1" applyAlignment="1">
      <alignment horizontal="center"/>
    </xf>
    <xf numFmtId="0" fontId="0" fillId="43" borderId="51" xfId="0" applyFill="1" applyBorder="1" applyAlignment="1">
      <alignment horizontal="center"/>
    </xf>
    <xf numFmtId="0" fontId="0" fillId="43" borderId="55" xfId="0" applyFill="1" applyBorder="1" applyAlignment="1">
      <alignment horizontal="center"/>
    </xf>
    <xf numFmtId="0" fontId="0" fillId="43" borderId="57" xfId="0" applyFill="1" applyBorder="1" applyAlignment="1">
      <alignment horizontal="center"/>
    </xf>
    <xf numFmtId="0" fontId="0" fillId="32" borderId="52" xfId="0" applyFill="1" applyBorder="1" applyAlignment="1">
      <alignment horizontal="center"/>
    </xf>
    <xf numFmtId="0" fontId="0" fillId="32" borderId="53" xfId="0" applyFill="1" applyBorder="1" applyAlignment="1">
      <alignment horizontal="center"/>
    </xf>
    <xf numFmtId="0" fontId="0" fillId="32" borderId="61" xfId="0" applyFill="1" applyBorder="1" applyAlignment="1">
      <alignment horizontal="center"/>
    </xf>
    <xf numFmtId="0" fontId="0" fillId="32" borderId="50" xfId="0" applyFill="1" applyBorder="1" applyAlignment="1">
      <alignment horizontal="center"/>
    </xf>
    <xf numFmtId="0" fontId="0" fillId="32" borderId="54" xfId="0" applyFill="1" applyBorder="1" applyAlignment="1">
      <alignment horizontal="center"/>
    </xf>
    <xf numFmtId="0" fontId="0" fillId="32" borderId="56" xfId="0" applyFill="1" applyBorder="1" applyAlignment="1">
      <alignment horizontal="center"/>
    </xf>
    <xf numFmtId="0" fontId="0" fillId="32" borderId="51" xfId="0" applyFill="1" applyBorder="1" applyAlignment="1">
      <alignment horizontal="center"/>
    </xf>
    <xf numFmtId="0" fontId="0" fillId="32" borderId="55" xfId="0" applyFill="1" applyBorder="1" applyAlignment="1">
      <alignment horizontal="center"/>
    </xf>
    <xf numFmtId="0" fontId="0" fillId="32" borderId="57" xfId="0" applyFill="1" applyBorder="1" applyAlignment="1">
      <alignment horizontal="center"/>
    </xf>
    <xf numFmtId="0" fontId="35" fillId="41" borderId="51" xfId="13" applyFont="1" applyFill="1" applyBorder="1" applyAlignment="1">
      <alignment horizontal="center"/>
    </xf>
    <xf numFmtId="0" fontId="35" fillId="41" borderId="55" xfId="13" applyFont="1" applyFill="1" applyBorder="1" applyAlignment="1">
      <alignment horizontal="center"/>
    </xf>
    <xf numFmtId="0" fontId="35" fillId="41" borderId="57" xfId="13" applyFont="1" applyFill="1" applyBorder="1" applyAlignment="1">
      <alignment horizontal="center"/>
    </xf>
    <xf numFmtId="0" fontId="64" fillId="41" borderId="51" xfId="13" applyFont="1" applyFill="1" applyBorder="1" applyAlignment="1">
      <alignment horizontal="center"/>
    </xf>
    <xf numFmtId="0" fontId="64" fillId="41" borderId="55" xfId="13" applyFont="1" applyFill="1" applyBorder="1" applyAlignment="1">
      <alignment horizontal="center"/>
    </xf>
    <xf numFmtId="0" fontId="64" fillId="41" borderId="57" xfId="13" applyFont="1" applyFill="1" applyBorder="1" applyAlignment="1">
      <alignment horizontal="center"/>
    </xf>
    <xf numFmtId="0" fontId="2" fillId="43" borderId="52" xfId="0" applyFont="1" applyFill="1" applyBorder="1" applyAlignment="1">
      <alignment horizontal="center"/>
    </xf>
    <xf numFmtId="0" fontId="1" fillId="19" borderId="51" xfId="0" applyFont="1" applyFill="1" applyBorder="1" applyAlignment="1">
      <alignment horizontal="center" wrapText="1"/>
    </xf>
    <xf numFmtId="0" fontId="1" fillId="19" borderId="55" xfId="0" applyFont="1" applyFill="1" applyBorder="1" applyAlignment="1">
      <alignment horizontal="center" wrapText="1"/>
    </xf>
    <xf numFmtId="0" fontId="1" fillId="19" borderId="57" xfId="0" applyFont="1" applyFill="1" applyBorder="1" applyAlignment="1">
      <alignment horizontal="center" wrapText="1"/>
    </xf>
    <xf numFmtId="0" fontId="0" fillId="19" borderId="52" xfId="0" applyFill="1" applyBorder="1" applyAlignment="1">
      <alignment horizontal="center"/>
    </xf>
    <xf numFmtId="0" fontId="0" fillId="19" borderId="53" xfId="0" applyFill="1" applyBorder="1" applyAlignment="1">
      <alignment horizontal="center"/>
    </xf>
    <xf numFmtId="0" fontId="0" fillId="19" borderId="61" xfId="0" applyFill="1" applyBorder="1" applyAlignment="1">
      <alignment horizontal="center"/>
    </xf>
    <xf numFmtId="0" fontId="0" fillId="19" borderId="50" xfId="0" applyFill="1" applyBorder="1" applyAlignment="1">
      <alignment horizontal="center"/>
    </xf>
    <xf numFmtId="0" fontId="0" fillId="19" borderId="54" xfId="0" applyFill="1" applyBorder="1" applyAlignment="1">
      <alignment horizontal="center"/>
    </xf>
    <xf numFmtId="0" fontId="0" fillId="19" borderId="56" xfId="0" applyFill="1" applyBorder="1" applyAlignment="1">
      <alignment horizontal="center"/>
    </xf>
    <xf numFmtId="0" fontId="0" fillId="19" borderId="51" xfId="0" applyFill="1" applyBorder="1" applyAlignment="1">
      <alignment horizontal="center"/>
    </xf>
    <xf numFmtId="0" fontId="0" fillId="19" borderId="55" xfId="0" applyFill="1" applyBorder="1" applyAlignment="1">
      <alignment horizontal="center"/>
    </xf>
    <xf numFmtId="0" fontId="0" fillId="19" borderId="57" xfId="0" applyFill="1" applyBorder="1" applyAlignment="1">
      <alignment horizontal="center"/>
    </xf>
    <xf numFmtId="3" fontId="11" fillId="16" borderId="55" xfId="1" applyNumberFormat="1" applyFont="1" applyFill="1" applyBorder="1" applyAlignment="1">
      <alignment horizontal="center"/>
    </xf>
    <xf numFmtId="0" fontId="1" fillId="0" borderId="16" xfId="0" applyFont="1" applyBorder="1" applyAlignment="1">
      <alignment horizontal="center"/>
    </xf>
    <xf numFmtId="0" fontId="0" fillId="2" borderId="54" xfId="0" applyFill="1" applyBorder="1" applyAlignment="1">
      <alignment horizontal="center"/>
    </xf>
    <xf numFmtId="165" fontId="0" fillId="10" borderId="54" xfId="1" applyNumberFormat="1" applyFont="1" applyFill="1" applyBorder="1" applyAlignment="1">
      <alignment horizontal="center"/>
    </xf>
    <xf numFmtId="165" fontId="0" fillId="10" borderId="56" xfId="1" applyNumberFormat="1" applyFont="1" applyFill="1" applyBorder="1" applyAlignment="1">
      <alignment horizontal="center"/>
    </xf>
    <xf numFmtId="0" fontId="0" fillId="27" borderId="54" xfId="0" applyFill="1" applyBorder="1" applyAlignment="1">
      <alignment horizontal="center"/>
    </xf>
    <xf numFmtId="0" fontId="0" fillId="2" borderId="55" xfId="0" applyFill="1" applyBorder="1" applyAlignment="1">
      <alignment horizontal="center"/>
    </xf>
    <xf numFmtId="165" fontId="0" fillId="10" borderId="55" xfId="1" applyNumberFormat="1" applyFont="1" applyFill="1" applyBorder="1" applyAlignment="1">
      <alignment horizontal="center"/>
    </xf>
    <xf numFmtId="165" fontId="0" fillId="10" borderId="57" xfId="1" applyNumberFormat="1" applyFont="1" applyFill="1" applyBorder="1" applyAlignment="1">
      <alignment horizontal="center"/>
    </xf>
    <xf numFmtId="165" fontId="0" fillId="27" borderId="50" xfId="1" applyNumberFormat="1" applyFont="1" applyFill="1" applyBorder="1" applyAlignment="1">
      <alignment horizontal="center"/>
    </xf>
    <xf numFmtId="165" fontId="0" fillId="27" borderId="54" xfId="1" applyNumberFormat="1" applyFont="1" applyFill="1" applyBorder="1" applyAlignment="1">
      <alignment horizontal="center"/>
    </xf>
    <xf numFmtId="165" fontId="0" fillId="27" borderId="56" xfId="1" applyNumberFormat="1" applyFont="1" applyFill="1" applyBorder="1" applyAlignment="1">
      <alignment horizontal="center"/>
    </xf>
    <xf numFmtId="165" fontId="0" fillId="27" borderId="51" xfId="1" applyNumberFormat="1" applyFont="1" applyFill="1" applyBorder="1" applyAlignment="1">
      <alignment horizontal="center"/>
    </xf>
    <xf numFmtId="165" fontId="0" fillId="27" borderId="55" xfId="1" applyNumberFormat="1" applyFont="1" applyFill="1" applyBorder="1" applyAlignment="1">
      <alignment horizontal="center"/>
    </xf>
    <xf numFmtId="165" fontId="0" fillId="27" borderId="57" xfId="1" applyNumberFormat="1" applyFont="1" applyFill="1" applyBorder="1" applyAlignment="1">
      <alignment horizontal="center"/>
    </xf>
    <xf numFmtId="165" fontId="0" fillId="28" borderId="50" xfId="1" applyNumberFormat="1" applyFont="1" applyFill="1" applyBorder="1" applyAlignment="1">
      <alignment horizontal="center"/>
    </xf>
    <xf numFmtId="165" fontId="0" fillId="28" borderId="54" xfId="1" applyNumberFormat="1" applyFont="1" applyFill="1" applyBorder="1" applyAlignment="1">
      <alignment horizontal="center"/>
    </xf>
    <xf numFmtId="165" fontId="0" fillId="28" borderId="56" xfId="1" applyNumberFormat="1" applyFont="1" applyFill="1" applyBorder="1" applyAlignment="1">
      <alignment horizontal="center"/>
    </xf>
    <xf numFmtId="165" fontId="0" fillId="28" borderId="51" xfId="1" applyNumberFormat="1" applyFont="1" applyFill="1" applyBorder="1" applyAlignment="1">
      <alignment horizontal="center"/>
    </xf>
    <xf numFmtId="165" fontId="0" fillId="28" borderId="55" xfId="1" applyNumberFormat="1" applyFont="1" applyFill="1" applyBorder="1" applyAlignment="1">
      <alignment horizontal="center"/>
    </xf>
    <xf numFmtId="165" fontId="0" fillId="28" borderId="57" xfId="1" applyNumberFormat="1" applyFont="1" applyFill="1" applyBorder="1" applyAlignment="1">
      <alignment horizontal="center"/>
    </xf>
    <xf numFmtId="0" fontId="1" fillId="28" borderId="122" xfId="0" applyFont="1" applyFill="1" applyBorder="1" applyAlignment="1">
      <alignment horizontal="center" wrapText="1"/>
    </xf>
    <xf numFmtId="0" fontId="1" fillId="28" borderId="123" xfId="0" applyFont="1" applyFill="1" applyBorder="1" applyAlignment="1">
      <alignment horizontal="center" wrapText="1"/>
    </xf>
    <xf numFmtId="0" fontId="1" fillId="28" borderId="124" xfId="0" applyFont="1" applyFill="1" applyBorder="1" applyAlignment="1">
      <alignment horizontal="center" wrapText="1"/>
    </xf>
    <xf numFmtId="165" fontId="0" fillId="28" borderId="102" xfId="1" applyNumberFormat="1" applyFont="1" applyFill="1" applyBorder="1" applyAlignment="1">
      <alignment horizontal="center"/>
    </xf>
    <xf numFmtId="165" fontId="0" fillId="28" borderId="115" xfId="1" applyNumberFormat="1" applyFont="1" applyFill="1" applyBorder="1" applyAlignment="1">
      <alignment horizontal="center"/>
    </xf>
    <xf numFmtId="165" fontId="0" fillId="28" borderId="103" xfId="1" applyNumberFormat="1" applyFont="1" applyFill="1" applyBorder="1" applyAlignment="1">
      <alignment horizontal="center"/>
    </xf>
    <xf numFmtId="0" fontId="1" fillId="27" borderId="122" xfId="0" applyFont="1" applyFill="1" applyBorder="1" applyAlignment="1">
      <alignment horizontal="center" wrapText="1"/>
    </xf>
    <xf numFmtId="0" fontId="1" fillId="27" borderId="123" xfId="0" applyFont="1" applyFill="1" applyBorder="1" applyAlignment="1">
      <alignment horizontal="center" wrapText="1"/>
    </xf>
    <xf numFmtId="0" fontId="1" fillId="27" borderId="124" xfId="0" applyFont="1" applyFill="1" applyBorder="1" applyAlignment="1">
      <alignment horizontal="center" wrapText="1"/>
    </xf>
    <xf numFmtId="165" fontId="0" fillId="27" borderId="102" xfId="1" applyNumberFormat="1" applyFont="1" applyFill="1" applyBorder="1" applyAlignment="1">
      <alignment horizontal="center"/>
    </xf>
    <xf numFmtId="165" fontId="0" fillId="27" borderId="115" xfId="1" applyNumberFormat="1" applyFont="1" applyFill="1" applyBorder="1" applyAlignment="1">
      <alignment horizontal="center"/>
    </xf>
    <xf numFmtId="165" fontId="0" fillId="27" borderId="103" xfId="1" applyNumberFormat="1" applyFont="1" applyFill="1" applyBorder="1" applyAlignment="1">
      <alignment horizontal="center"/>
    </xf>
    <xf numFmtId="0" fontId="1" fillId="10" borderId="98" xfId="0" applyFont="1" applyFill="1" applyBorder="1" applyAlignment="1">
      <alignment horizontal="center" wrapText="1"/>
    </xf>
    <xf numFmtId="0" fontId="1" fillId="10" borderId="66" xfId="0" applyFont="1" applyFill="1" applyBorder="1" applyAlignment="1">
      <alignment horizontal="center" wrapText="1"/>
    </xf>
    <xf numFmtId="165" fontId="0" fillId="10" borderId="102" xfId="1" applyNumberFormat="1" applyFont="1" applyFill="1" applyBorder="1" applyAlignment="1">
      <alignment horizontal="center"/>
    </xf>
    <xf numFmtId="165" fontId="0" fillId="10" borderId="115" xfId="1" applyNumberFormat="1" applyFont="1" applyFill="1" applyBorder="1" applyAlignment="1">
      <alignment horizontal="center"/>
    </xf>
    <xf numFmtId="165" fontId="0" fillId="10" borderId="103" xfId="1" applyNumberFormat="1" applyFont="1" applyFill="1" applyBorder="1" applyAlignment="1">
      <alignment horizontal="center"/>
    </xf>
    <xf numFmtId="165" fontId="0" fillId="10" borderId="50" xfId="1" applyNumberFormat="1" applyFont="1" applyFill="1" applyBorder="1" applyAlignment="1">
      <alignment horizontal="center"/>
    </xf>
    <xf numFmtId="165" fontId="0" fillId="10" borderId="51" xfId="1" applyNumberFormat="1" applyFont="1" applyFill="1" applyBorder="1" applyAlignment="1">
      <alignment horizontal="center"/>
    </xf>
    <xf numFmtId="0" fontId="0" fillId="2" borderId="102" xfId="0" applyFill="1" applyBorder="1" applyAlignment="1">
      <alignment horizontal="center"/>
    </xf>
    <xf numFmtId="0" fontId="0" fillId="2" borderId="115" xfId="0" applyFill="1" applyBorder="1" applyAlignment="1">
      <alignment horizontal="center"/>
    </xf>
    <xf numFmtId="0" fontId="0" fillId="2" borderId="103" xfId="0" applyFill="1" applyBorder="1" applyAlignment="1">
      <alignment horizontal="center"/>
    </xf>
    <xf numFmtId="0" fontId="0" fillId="2" borderId="50" xfId="0" applyFill="1" applyBorder="1" applyAlignment="1">
      <alignment horizontal="center"/>
    </xf>
    <xf numFmtId="0" fontId="0" fillId="2" borderId="56" xfId="0" applyFill="1" applyBorder="1" applyAlignment="1">
      <alignment horizontal="center"/>
    </xf>
    <xf numFmtId="0" fontId="0" fillId="2" borderId="51" xfId="0" applyFill="1" applyBorder="1" applyAlignment="1">
      <alignment horizontal="center"/>
    </xf>
    <xf numFmtId="0" fontId="0" fillId="2" borderId="57" xfId="0" applyFill="1" applyBorder="1" applyAlignment="1">
      <alignment horizontal="center"/>
    </xf>
    <xf numFmtId="0" fontId="18" fillId="28" borderId="102" xfId="13" applyFont="1" applyFill="1" applyBorder="1" applyAlignment="1">
      <alignment horizontal="center" wrapText="1"/>
    </xf>
    <xf numFmtId="0" fontId="18" fillId="28" borderId="50" xfId="13" applyFont="1" applyFill="1" applyBorder="1" applyAlignment="1">
      <alignment horizontal="center" wrapText="1"/>
    </xf>
    <xf numFmtId="0" fontId="18" fillId="28" borderId="56" xfId="13" applyFont="1" applyFill="1" applyBorder="1" applyAlignment="1">
      <alignment horizontal="center" wrapText="1"/>
    </xf>
    <xf numFmtId="0" fontId="18" fillId="28" borderId="51" xfId="13" applyFont="1" applyFill="1" applyBorder="1" applyAlignment="1">
      <alignment horizontal="center" wrapText="1"/>
    </xf>
    <xf numFmtId="0" fontId="18" fillId="28" borderId="57" xfId="9" applyFont="1" applyFill="1" applyBorder="1" applyAlignment="1">
      <alignment horizontal="center" wrapText="1"/>
    </xf>
    <xf numFmtId="165" fontId="1" fillId="28" borderId="125" xfId="1" applyNumberFormat="1" applyFont="1" applyFill="1" applyBorder="1" applyAlignment="1">
      <alignment horizontal="center" wrapText="1"/>
    </xf>
    <xf numFmtId="0" fontId="1" fillId="2" borderId="104" xfId="0" applyFont="1" applyFill="1" applyBorder="1" applyAlignment="1">
      <alignment horizontal="center" wrapText="1"/>
    </xf>
    <xf numFmtId="0" fontId="1" fillId="2" borderId="59" xfId="0" applyFont="1" applyFill="1" applyBorder="1" applyAlignment="1">
      <alignment horizontal="center" wrapText="1"/>
    </xf>
    <xf numFmtId="0" fontId="1" fillId="2" borderId="105" xfId="0" applyFont="1" applyFill="1" applyBorder="1" applyAlignment="1">
      <alignment horizontal="center" wrapText="1"/>
    </xf>
    <xf numFmtId="0" fontId="0" fillId="27" borderId="106" xfId="0" applyFill="1" applyBorder="1" applyAlignment="1">
      <alignment horizontal="center"/>
    </xf>
    <xf numFmtId="0" fontId="1" fillId="27" borderId="99" xfId="0" applyFont="1" applyFill="1" applyBorder="1" applyAlignment="1">
      <alignment horizontal="center"/>
    </xf>
    <xf numFmtId="0" fontId="87" fillId="46" borderId="3" xfId="0" applyFont="1" applyFill="1" applyBorder="1" applyAlignment="1">
      <alignment horizontal="center"/>
    </xf>
    <xf numFmtId="0" fontId="87" fillId="46" borderId="3" xfId="0" applyFont="1" applyFill="1" applyBorder="1"/>
    <xf numFmtId="0" fontId="87" fillId="46" borderId="1" xfId="0" applyFont="1" applyFill="1" applyBorder="1" applyAlignment="1">
      <alignment horizontal="left" wrapText="1"/>
    </xf>
    <xf numFmtId="2" fontId="48" fillId="0" borderId="0" xfId="0" applyNumberFormat="1" applyFont="1" applyAlignment="1" applyProtection="1">
      <alignment horizontal="center"/>
      <protection hidden="1"/>
    </xf>
    <xf numFmtId="2" fontId="48" fillId="0" borderId="0" xfId="0" applyNumberFormat="1" applyFont="1" applyAlignment="1">
      <alignment horizontal="center"/>
    </xf>
    <xf numFmtId="0" fontId="1" fillId="17" borderId="104" xfId="0" applyFont="1" applyFill="1" applyBorder="1" applyAlignment="1">
      <alignment horizontal="center" wrapText="1"/>
    </xf>
    <xf numFmtId="0" fontId="1" fillId="17" borderId="105" xfId="0" applyFont="1" applyFill="1" applyBorder="1" applyAlignment="1">
      <alignment horizontal="center" wrapText="1"/>
    </xf>
    <xf numFmtId="0" fontId="0" fillId="17" borderId="52" xfId="0" applyFill="1" applyBorder="1" applyAlignment="1">
      <alignment horizontal="center"/>
    </xf>
    <xf numFmtId="0" fontId="0" fillId="17" borderId="61" xfId="0" applyFill="1" applyBorder="1" applyAlignment="1">
      <alignment horizontal="center"/>
    </xf>
    <xf numFmtId="0" fontId="0" fillId="17" borderId="56" xfId="0" applyFill="1" applyBorder="1" applyAlignment="1">
      <alignment horizontal="center"/>
    </xf>
    <xf numFmtId="0" fontId="0" fillId="17" borderId="51" xfId="0" applyFill="1" applyBorder="1" applyAlignment="1">
      <alignment horizontal="center"/>
    </xf>
    <xf numFmtId="0" fontId="0" fillId="17" borderId="57" xfId="0" applyFill="1" applyBorder="1" applyAlignment="1">
      <alignment horizontal="center"/>
    </xf>
    <xf numFmtId="0" fontId="1" fillId="17" borderId="59" xfId="0" applyFont="1" applyFill="1" applyBorder="1" applyAlignment="1">
      <alignment horizontal="center" wrapText="1"/>
    </xf>
    <xf numFmtId="0" fontId="0" fillId="17" borderId="53" xfId="0" applyFill="1" applyBorder="1" applyAlignment="1">
      <alignment horizontal="center"/>
    </xf>
    <xf numFmtId="0" fontId="0" fillId="17" borderId="54" xfId="0" applyFill="1" applyBorder="1" applyAlignment="1">
      <alignment horizontal="center"/>
    </xf>
    <xf numFmtId="0" fontId="0" fillId="17" borderId="55" xfId="0" applyFill="1" applyBorder="1" applyAlignment="1">
      <alignment horizontal="center"/>
    </xf>
    <xf numFmtId="43" fontId="1" fillId="20" borderId="59" xfId="0" applyNumberFormat="1" applyFont="1" applyFill="1" applyBorder="1" applyAlignment="1">
      <alignment horizontal="center" wrapText="1"/>
    </xf>
    <xf numFmtId="0" fontId="1" fillId="20" borderId="59" xfId="0" applyFont="1" applyFill="1" applyBorder="1" applyAlignment="1">
      <alignment horizontal="center" wrapText="1"/>
    </xf>
    <xf numFmtId="0" fontId="1" fillId="20" borderId="126" xfId="0" applyFont="1" applyFill="1" applyBorder="1" applyAlignment="1">
      <alignment horizontal="center" wrapText="1"/>
    </xf>
    <xf numFmtId="0" fontId="0" fillId="20" borderId="53" xfId="0" applyFill="1" applyBorder="1" applyAlignment="1">
      <alignment horizontal="center"/>
    </xf>
    <xf numFmtId="0" fontId="0" fillId="20" borderId="63" xfId="0" applyFill="1" applyBorder="1" applyAlignment="1">
      <alignment horizontal="center"/>
    </xf>
    <xf numFmtId="0" fontId="0" fillId="20" borderId="54" xfId="0" applyFill="1" applyBorder="1" applyAlignment="1">
      <alignment horizontal="center"/>
    </xf>
    <xf numFmtId="0" fontId="0" fillId="20" borderId="64" xfId="0" applyFill="1" applyBorder="1" applyAlignment="1">
      <alignment horizontal="center"/>
    </xf>
    <xf numFmtId="0" fontId="0" fillId="20" borderId="55" xfId="0" applyFill="1" applyBorder="1" applyAlignment="1">
      <alignment horizontal="center"/>
    </xf>
    <xf numFmtId="0" fontId="0" fillId="20" borderId="65" xfId="0" applyFill="1" applyBorder="1" applyAlignment="1">
      <alignment horizontal="center"/>
    </xf>
    <xf numFmtId="0" fontId="2" fillId="3" borderId="74" xfId="0" applyFont="1" applyFill="1" applyBorder="1" applyAlignment="1">
      <alignment horizontal="center"/>
    </xf>
    <xf numFmtId="0" fontId="2" fillId="38" borderId="6" xfId="1" applyNumberFormat="1" applyFont="1" applyFill="1" applyBorder="1" applyAlignment="1" applyProtection="1">
      <alignment horizontal="center"/>
    </xf>
    <xf numFmtId="0" fontId="2" fillId="3" borderId="6" xfId="1" applyNumberFormat="1" applyFont="1" applyFill="1" applyBorder="1" applyAlignment="1" applyProtection="1">
      <alignment horizontal="center"/>
    </xf>
    <xf numFmtId="0" fontId="2" fillId="3" borderId="8" xfId="1" applyNumberFormat="1" applyFont="1" applyFill="1" applyBorder="1" applyAlignment="1" applyProtection="1">
      <alignment horizontal="center"/>
    </xf>
    <xf numFmtId="0" fontId="2" fillId="2" borderId="6" xfId="1" applyNumberFormat="1" applyFont="1" applyFill="1" applyBorder="1" applyAlignment="1" applyProtection="1">
      <alignment horizontal="center"/>
    </xf>
    <xf numFmtId="0" fontId="2" fillId="2" borderId="7" xfId="1" applyNumberFormat="1" applyFont="1" applyFill="1" applyBorder="1" applyAlignment="1" applyProtection="1">
      <alignment horizontal="center"/>
    </xf>
    <xf numFmtId="0" fontId="2" fillId="2" borderId="8" xfId="1" applyNumberFormat="1" applyFont="1" applyFill="1" applyBorder="1" applyAlignment="1" applyProtection="1">
      <alignment horizontal="center"/>
    </xf>
    <xf numFmtId="0" fontId="2" fillId="2" borderId="20" xfId="0" applyFont="1" applyFill="1" applyBorder="1" applyAlignment="1">
      <alignment horizontal="center"/>
    </xf>
    <xf numFmtId="0" fontId="2" fillId="2" borderId="20" xfId="0" applyFont="1" applyFill="1" applyBorder="1"/>
    <xf numFmtId="0" fontId="2" fillId="2" borderId="21" xfId="0" applyFont="1" applyFill="1" applyBorder="1" applyAlignment="1">
      <alignment horizontal="left" wrapText="1"/>
    </xf>
    <xf numFmtId="169" fontId="2" fillId="2" borderId="22" xfId="1" applyNumberFormat="1" applyFont="1" applyFill="1" applyBorder="1" applyAlignment="1" applyProtection="1">
      <alignment horizontal="center" wrapText="1"/>
    </xf>
    <xf numFmtId="0" fontId="2" fillId="20" borderId="95" xfId="0" applyFont="1" applyFill="1" applyBorder="1" applyAlignment="1">
      <alignment horizontal="center"/>
    </xf>
    <xf numFmtId="0" fontId="2" fillId="20" borderId="95" xfId="0" applyFont="1" applyFill="1" applyBorder="1"/>
    <xf numFmtId="0" fontId="2" fillId="20" borderId="7" xfId="0" applyFont="1" applyFill="1" applyBorder="1" applyAlignment="1">
      <alignment horizontal="left" wrapText="1"/>
    </xf>
    <xf numFmtId="0" fontId="2" fillId="20" borderId="10" xfId="0" applyFont="1" applyFill="1" applyBorder="1" applyAlignment="1">
      <alignment horizontal="center"/>
    </xf>
    <xf numFmtId="0" fontId="2" fillId="20" borderId="10" xfId="0" applyFont="1" applyFill="1" applyBorder="1"/>
    <xf numFmtId="0" fontId="2" fillId="20" borderId="6" xfId="0" applyFont="1" applyFill="1" applyBorder="1" applyAlignment="1">
      <alignment horizontal="left" wrapText="1"/>
    </xf>
    <xf numFmtId="0" fontId="2" fillId="20" borderId="11" xfId="0" applyFont="1" applyFill="1" applyBorder="1" applyAlignment="1">
      <alignment horizontal="center"/>
    </xf>
    <xf numFmtId="0" fontId="2" fillId="20" borderId="11" xfId="0" applyFont="1" applyFill="1" applyBorder="1"/>
    <xf numFmtId="0" fontId="2" fillId="20" borderId="8" xfId="0" applyFont="1" applyFill="1" applyBorder="1" applyAlignment="1">
      <alignment horizontal="left" wrapText="1"/>
    </xf>
    <xf numFmtId="0" fontId="1" fillId="0" borderId="10" xfId="0" applyFont="1" applyBorder="1"/>
    <xf numFmtId="0" fontId="1" fillId="0" borderId="27" xfId="0" applyFont="1" applyBorder="1" applyAlignment="1" applyProtection="1">
      <alignment horizontal="center"/>
      <protection locked="0"/>
    </xf>
    <xf numFmtId="0" fontId="2" fillId="7" borderId="7" xfId="1" applyNumberFormat="1" applyFont="1" applyFill="1" applyBorder="1" applyAlignment="1" applyProtection="1">
      <alignment horizontal="left"/>
    </xf>
    <xf numFmtId="0" fontId="2" fillId="7" borderId="6" xfId="1" applyNumberFormat="1" applyFont="1" applyFill="1" applyBorder="1" applyAlignment="1" applyProtection="1">
      <alignment horizontal="left"/>
    </xf>
    <xf numFmtId="0" fontId="2" fillId="7" borderId="8" xfId="1" applyNumberFormat="1" applyFont="1" applyFill="1" applyBorder="1" applyAlignment="1" applyProtection="1">
      <alignment horizontal="left"/>
    </xf>
    <xf numFmtId="2" fontId="49" fillId="0" borderId="0" xfId="1" applyNumberFormat="1" applyFont="1" applyFill="1" applyBorder="1" applyProtection="1">
      <protection hidden="1"/>
    </xf>
    <xf numFmtId="49" fontId="27" fillId="29" borderId="47" xfId="0" applyNumberFormat="1" applyFont="1" applyFill="1" applyBorder="1" applyAlignment="1">
      <alignment horizontal="center"/>
    </xf>
    <xf numFmtId="0" fontId="27" fillId="29" borderId="130" xfId="0" applyFont="1" applyFill="1" applyBorder="1" applyAlignment="1">
      <alignment horizontal="center"/>
    </xf>
    <xf numFmtId="0" fontId="27" fillId="29" borderId="48" xfId="0" applyFont="1" applyFill="1" applyBorder="1" applyAlignment="1">
      <alignment horizontal="center"/>
    </xf>
    <xf numFmtId="0" fontId="27" fillId="29" borderId="48" xfId="1" applyNumberFormat="1" applyFont="1" applyFill="1" applyBorder="1" applyAlignment="1" applyProtection="1">
      <alignment horizontal="center" wrapText="1"/>
    </xf>
    <xf numFmtId="4" fontId="29" fillId="0" borderId="134" xfId="1" applyNumberFormat="1" applyFont="1" applyBorder="1" applyAlignment="1" applyProtection="1">
      <alignment horizontal="center"/>
    </xf>
    <xf numFmtId="4" fontId="29" fillId="0" borderId="38" xfId="1" applyNumberFormat="1" applyFont="1" applyBorder="1" applyAlignment="1" applyProtection="1">
      <alignment horizontal="center"/>
    </xf>
    <xf numFmtId="166" fontId="88" fillId="0" borderId="0" xfId="0" applyNumberFormat="1" applyFont="1" applyAlignment="1">
      <alignment horizontal="center"/>
    </xf>
    <xf numFmtId="0" fontId="30" fillId="0" borderId="0" xfId="0" applyFont="1" applyAlignment="1">
      <alignment horizontal="left"/>
    </xf>
    <xf numFmtId="0" fontId="12" fillId="0" borderId="0" xfId="0" applyFont="1" applyAlignment="1">
      <alignment horizontal="left"/>
    </xf>
    <xf numFmtId="0" fontId="0" fillId="0" borderId="0" xfId="0" applyAlignment="1">
      <alignment horizontal="center" wrapText="1"/>
    </xf>
    <xf numFmtId="0" fontId="72" fillId="0" borderId="82" xfId="0" applyFont="1" applyBorder="1" applyAlignment="1">
      <alignment vertical="center"/>
    </xf>
    <xf numFmtId="0" fontId="72" fillId="0" borderId="83" xfId="0" applyFont="1" applyBorder="1" applyAlignment="1">
      <alignment horizontal="center" vertical="center"/>
    </xf>
    <xf numFmtId="166" fontId="89" fillId="0" borderId="0" xfId="0" applyNumberFormat="1" applyFont="1" applyAlignment="1">
      <alignment horizontal="center"/>
    </xf>
    <xf numFmtId="0" fontId="0" fillId="29" borderId="103" xfId="0" applyFill="1" applyBorder="1" applyAlignment="1">
      <alignment vertical="top"/>
    </xf>
    <xf numFmtId="0" fontId="2" fillId="0" borderId="50" xfId="0" applyFont="1" applyBorder="1" applyAlignment="1">
      <alignment vertical="top"/>
    </xf>
    <xf numFmtId="0" fontId="2" fillId="0" borderId="56" xfId="0" applyFont="1" applyBorder="1" applyAlignment="1">
      <alignment vertical="top" wrapText="1"/>
    </xf>
    <xf numFmtId="0" fontId="2" fillId="0" borderId="51" xfId="0" applyFont="1" applyBorder="1" applyAlignment="1">
      <alignment vertical="top"/>
    </xf>
    <xf numFmtId="0" fontId="2" fillId="0" borderId="57" xfId="0" applyFont="1" applyBorder="1" applyAlignment="1">
      <alignment vertical="top" wrapText="1"/>
    </xf>
    <xf numFmtId="0" fontId="7" fillId="0" borderId="50" xfId="0" applyFont="1" applyBorder="1" applyAlignment="1">
      <alignment vertical="top"/>
    </xf>
    <xf numFmtId="0" fontId="0" fillId="0" borderId="56" xfId="0" applyBorder="1" applyAlignment="1">
      <alignment vertical="top"/>
    </xf>
    <xf numFmtId="0" fontId="2" fillId="0" borderId="56" xfId="0" applyFont="1" applyBorder="1" applyAlignment="1">
      <alignment vertical="top"/>
    </xf>
    <xf numFmtId="0" fontId="7" fillId="30" borderId="50" xfId="0" applyFont="1" applyFill="1" applyBorder="1" applyAlignment="1">
      <alignment vertical="top"/>
    </xf>
    <xf numFmtId="0" fontId="0" fillId="30" borderId="56" xfId="0" applyFill="1" applyBorder="1" applyAlignment="1">
      <alignment vertical="top"/>
    </xf>
    <xf numFmtId="0" fontId="2" fillId="0" borderId="57" xfId="0" applyFont="1" applyBorder="1" applyAlignment="1">
      <alignment vertical="top"/>
    </xf>
    <xf numFmtId="0" fontId="35" fillId="41" borderId="50" xfId="10" applyFont="1" applyFill="1" applyBorder="1" applyAlignment="1">
      <alignment horizontal="center" wrapText="1"/>
    </xf>
    <xf numFmtId="0" fontId="35" fillId="41" borderId="54" xfId="10" applyFont="1" applyFill="1" applyBorder="1" applyAlignment="1">
      <alignment horizontal="center" wrapText="1"/>
    </xf>
    <xf numFmtId="0" fontId="9" fillId="29" borderId="95" xfId="0" applyFont="1" applyFill="1" applyBorder="1"/>
    <xf numFmtId="0" fontId="85" fillId="29" borderId="106" xfId="10" applyFont="1" applyFill="1" applyBorder="1" applyAlignment="1">
      <alignment horizontal="center" wrapText="1"/>
    </xf>
    <xf numFmtId="0" fontId="85" fillId="29" borderId="99" xfId="10" applyFont="1" applyFill="1" applyBorder="1" applyAlignment="1">
      <alignment horizontal="center" wrapText="1"/>
    </xf>
    <xf numFmtId="0" fontId="9" fillId="29" borderId="11" xfId="0" applyFont="1" applyFill="1" applyBorder="1"/>
    <xf numFmtId="0" fontId="9" fillId="29" borderId="27" xfId="0" applyFont="1" applyFill="1" applyBorder="1" applyAlignment="1">
      <alignment horizontal="center"/>
    </xf>
    <xf numFmtId="0" fontId="9" fillId="29" borderId="16" xfId="0" applyFont="1" applyFill="1" applyBorder="1" applyAlignment="1">
      <alignment horizontal="center"/>
    </xf>
    <xf numFmtId="0" fontId="0" fillId="47" borderId="50" xfId="0" applyFill="1" applyBorder="1" applyAlignment="1">
      <alignment horizontal="center"/>
    </xf>
    <xf numFmtId="0" fontId="18" fillId="47" borderId="54" xfId="14" applyFont="1" applyFill="1" applyBorder="1" applyAlignment="1">
      <alignment wrapText="1"/>
    </xf>
    <xf numFmtId="0" fontId="18" fillId="47" borderId="54" xfId="14" applyFont="1" applyFill="1" applyBorder="1" applyAlignment="1">
      <alignment horizontal="center" wrapText="1"/>
    </xf>
    <xf numFmtId="0" fontId="18" fillId="47" borderId="56" xfId="14" applyFont="1" applyFill="1" applyBorder="1" applyAlignment="1">
      <alignment wrapText="1"/>
    </xf>
    <xf numFmtId="0" fontId="41" fillId="0" borderId="88" xfId="17" applyFont="1" applyBorder="1" applyAlignment="1">
      <alignment horizontal="center" vertical="center" wrapText="1"/>
    </xf>
    <xf numFmtId="0" fontId="41" fillId="0" borderId="39" xfId="17" applyFont="1" applyBorder="1" applyAlignment="1">
      <alignment horizontal="center" vertical="center" wrapText="1"/>
    </xf>
    <xf numFmtId="0" fontId="38" fillId="0" borderId="128" xfId="11" applyFont="1" applyBorder="1" applyAlignment="1">
      <alignment horizontal="center" vertical="center"/>
    </xf>
    <xf numFmtId="49" fontId="38" fillId="0" borderId="54" xfId="11" applyNumberFormat="1" applyFont="1" applyBorder="1" applyAlignment="1">
      <alignment horizontal="center" vertical="center"/>
    </xf>
    <xf numFmtId="0" fontId="38" fillId="0" borderId="56" xfId="11" applyFont="1" applyBorder="1" applyAlignment="1">
      <alignment horizontal="center" vertical="center"/>
    </xf>
    <xf numFmtId="0" fontId="40" fillId="0" borderId="138" xfId="11" applyFont="1" applyBorder="1" applyAlignment="1">
      <alignment horizontal="left" vertical="center"/>
    </xf>
    <xf numFmtId="0" fontId="2" fillId="8" borderId="38" xfId="0" applyFont="1" applyFill="1" applyBorder="1" applyAlignment="1" applyProtection="1">
      <alignment horizontal="center" vertical="center"/>
      <protection locked="0"/>
    </xf>
    <xf numFmtId="2" fontId="93" fillId="47" borderId="54" xfId="14" applyNumberFormat="1" applyFont="1" applyFill="1" applyBorder="1" applyAlignment="1">
      <alignment horizontal="right" wrapText="1"/>
    </xf>
    <xf numFmtId="1" fontId="93" fillId="47" borderId="54" xfId="14" applyNumberFormat="1" applyFont="1" applyFill="1" applyBorder="1" applyAlignment="1">
      <alignment horizontal="right" wrapText="1"/>
    </xf>
    <xf numFmtId="0" fontId="0" fillId="45" borderId="50" xfId="0" applyFill="1" applyBorder="1" applyAlignment="1">
      <alignment horizontal="center"/>
    </xf>
    <xf numFmtId="0" fontId="18" fillId="45" borderId="54" xfId="14" applyFont="1" applyFill="1" applyBorder="1" applyAlignment="1">
      <alignment wrapText="1"/>
    </xf>
    <xf numFmtId="2" fontId="57" fillId="45" borderId="54" xfId="14" applyNumberFormat="1" applyFont="1" applyFill="1" applyBorder="1" applyAlignment="1">
      <alignment horizontal="right" wrapText="1"/>
    </xf>
    <xf numFmtId="1" fontId="18" fillId="45" borderId="54" xfId="14" applyNumberFormat="1" applyFont="1" applyFill="1" applyBorder="1" applyAlignment="1">
      <alignment horizontal="right" wrapText="1"/>
    </xf>
    <xf numFmtId="0" fontId="18" fillId="45" borderId="54" xfId="14" applyFont="1" applyFill="1" applyBorder="1" applyAlignment="1">
      <alignment horizontal="center" wrapText="1"/>
    </xf>
    <xf numFmtId="0" fontId="18" fillId="45" borderId="56" xfId="14" applyFont="1" applyFill="1" applyBorder="1" applyAlignment="1">
      <alignment wrapText="1"/>
    </xf>
    <xf numFmtId="1" fontId="93" fillId="45" borderId="54" xfId="14" applyNumberFormat="1" applyFont="1" applyFill="1" applyBorder="1" applyAlignment="1">
      <alignment horizontal="right" wrapText="1"/>
    </xf>
    <xf numFmtId="2" fontId="18" fillId="45" borderId="54" xfId="14" applyNumberFormat="1" applyFont="1" applyFill="1" applyBorder="1" applyAlignment="1">
      <alignment horizontal="right" wrapText="1"/>
    </xf>
    <xf numFmtId="0" fontId="94" fillId="0" borderId="0" xfId="0" applyFont="1" applyAlignment="1">
      <alignment horizontal="center"/>
    </xf>
    <xf numFmtId="0" fontId="94" fillId="0" borderId="0" xfId="0" applyFont="1"/>
    <xf numFmtId="0" fontId="52" fillId="0" borderId="0" xfId="0" applyFont="1" applyAlignment="1">
      <alignment horizontal="center"/>
    </xf>
    <xf numFmtId="14" fontId="52" fillId="0" borderId="0" xfId="0" applyNumberFormat="1" applyFont="1" applyAlignment="1">
      <alignment horizontal="center"/>
    </xf>
    <xf numFmtId="49" fontId="27" fillId="0" borderId="132" xfId="0" applyNumberFormat="1" applyFont="1" applyBorder="1" applyAlignment="1">
      <alignment horizontal="center"/>
    </xf>
    <xf numFmtId="0" fontId="29" fillId="0" borderId="133" xfId="0" applyFont="1" applyBorder="1" applyAlignment="1">
      <alignment horizontal="center"/>
    </xf>
    <xf numFmtId="0" fontId="29" fillId="0" borderId="134" xfId="0" applyFont="1" applyBorder="1" applyAlignment="1">
      <alignment horizontal="center"/>
    </xf>
    <xf numFmtId="0" fontId="28" fillId="0" borderId="135" xfId="0" applyFont="1" applyBorder="1" applyAlignment="1">
      <alignment horizontal="center"/>
    </xf>
    <xf numFmtId="0" fontId="29" fillId="0" borderId="77" xfId="0" applyFont="1" applyBorder="1" applyAlignment="1">
      <alignment horizontal="center"/>
    </xf>
    <xf numFmtId="0" fontId="28" fillId="0" borderId="36" xfId="0" applyFont="1" applyBorder="1" applyAlignment="1">
      <alignment horizontal="center"/>
    </xf>
    <xf numFmtId="0" fontId="29" fillId="0" borderId="78" xfId="0" applyFont="1" applyBorder="1" applyAlignment="1">
      <alignment horizontal="center"/>
    </xf>
    <xf numFmtId="0" fontId="28" fillId="0" borderId="72" xfId="0" applyFont="1" applyBorder="1" applyAlignment="1">
      <alignment horizontal="center"/>
    </xf>
    <xf numFmtId="0" fontId="1" fillId="0" borderId="10" xfId="0" applyFont="1" applyBorder="1" applyAlignment="1">
      <alignment horizontal="left" indent="1"/>
    </xf>
    <xf numFmtId="0" fontId="1" fillId="0" borderId="11" xfId="0" applyFont="1" applyBorder="1" applyAlignment="1">
      <alignment horizontal="left" indent="1"/>
    </xf>
    <xf numFmtId="2" fontId="49" fillId="19" borderId="147" xfId="1" applyNumberFormat="1" applyFont="1" applyFill="1" applyBorder="1" applyProtection="1">
      <protection hidden="1"/>
    </xf>
    <xf numFmtId="2" fontId="49" fillId="19" borderId="148" xfId="1" applyNumberFormat="1" applyFont="1" applyFill="1" applyBorder="1" applyProtection="1">
      <protection hidden="1"/>
    </xf>
    <xf numFmtId="2" fontId="49" fillId="19" borderId="149" xfId="1" applyNumberFormat="1" applyFont="1" applyFill="1" applyBorder="1" applyProtection="1">
      <protection hidden="1"/>
    </xf>
    <xf numFmtId="2" fontId="49" fillId="19" borderId="150" xfId="1" applyNumberFormat="1" applyFont="1" applyFill="1" applyBorder="1" applyProtection="1">
      <protection hidden="1"/>
    </xf>
    <xf numFmtId="2" fontId="49" fillId="19" borderId="152" xfId="1" applyNumberFormat="1" applyFont="1" applyFill="1" applyBorder="1" applyProtection="1">
      <protection hidden="1"/>
    </xf>
    <xf numFmtId="2" fontId="49" fillId="19" borderId="153" xfId="1" applyNumberFormat="1" applyFont="1" applyFill="1" applyBorder="1" applyProtection="1">
      <protection hidden="1"/>
    </xf>
    <xf numFmtId="2" fontId="48" fillId="19" borderId="154" xfId="0" applyNumberFormat="1" applyFont="1" applyFill="1" applyBorder="1" applyAlignment="1" applyProtection="1">
      <alignment horizontal="center"/>
      <protection hidden="1"/>
    </xf>
    <xf numFmtId="2" fontId="48" fillId="19" borderId="151" xfId="0" applyNumberFormat="1" applyFont="1" applyFill="1" applyBorder="1" applyAlignment="1">
      <alignment horizontal="center"/>
    </xf>
    <xf numFmtId="2" fontId="48" fillId="19" borderId="155" xfId="0" applyNumberFormat="1" applyFont="1" applyFill="1" applyBorder="1" applyAlignment="1" applyProtection="1">
      <alignment horizontal="center"/>
      <protection hidden="1"/>
    </xf>
    <xf numFmtId="2" fontId="49" fillId="19" borderId="156" xfId="1" applyNumberFormat="1" applyFont="1" applyFill="1" applyBorder="1" applyProtection="1">
      <protection hidden="1"/>
    </xf>
    <xf numFmtId="2" fontId="49" fillId="19" borderId="157" xfId="1" applyNumberFormat="1" applyFont="1" applyFill="1" applyBorder="1" applyProtection="1">
      <protection hidden="1"/>
    </xf>
    <xf numFmtId="2" fontId="49" fillId="19" borderId="158" xfId="1" applyNumberFormat="1" applyFont="1" applyFill="1" applyBorder="1" applyProtection="1">
      <protection hidden="1"/>
    </xf>
    <xf numFmtId="0" fontId="37" fillId="39" borderId="106" xfId="0" applyFont="1" applyFill="1" applyBorder="1"/>
    <xf numFmtId="0" fontId="37" fillId="39" borderId="99" xfId="0" applyFont="1" applyFill="1" applyBorder="1"/>
    <xf numFmtId="169" fontId="87" fillId="46" borderId="89" xfId="1" applyNumberFormat="1" applyFont="1" applyFill="1" applyBorder="1" applyAlignment="1" applyProtection="1">
      <alignment horizontal="center" wrapText="1"/>
      <protection locked="0"/>
    </xf>
    <xf numFmtId="0" fontId="1" fillId="16" borderId="51" xfId="0" applyFont="1" applyFill="1" applyBorder="1" applyAlignment="1">
      <alignment horizontal="center" wrapText="1"/>
    </xf>
    <xf numFmtId="0" fontId="1" fillId="0" borderId="163" xfId="0" applyFont="1" applyBorder="1" applyAlignment="1">
      <alignment horizontal="center"/>
    </xf>
    <xf numFmtId="0" fontId="1" fillId="16" borderId="164" xfId="0" applyFont="1" applyFill="1" applyBorder="1" applyAlignment="1">
      <alignment horizontal="center"/>
    </xf>
    <xf numFmtId="0" fontId="1" fillId="16" borderId="106" xfId="0" applyFont="1" applyFill="1" applyBorder="1" applyAlignment="1">
      <alignment horizontal="center"/>
    </xf>
    <xf numFmtId="0" fontId="1" fillId="16" borderId="165" xfId="0" applyFont="1" applyFill="1" applyBorder="1" applyAlignment="1">
      <alignment horizontal="center"/>
    </xf>
    <xf numFmtId="0" fontId="1" fillId="16" borderId="166" xfId="0" applyFont="1" applyFill="1" applyBorder="1" applyAlignment="1">
      <alignment horizontal="center"/>
    </xf>
    <xf numFmtId="0" fontId="35" fillId="37" borderId="104" xfId="10" applyFont="1" applyFill="1" applyBorder="1" applyAlignment="1">
      <alignment horizontal="center" wrapText="1"/>
    </xf>
    <xf numFmtId="0" fontId="35" fillId="37" borderId="105" xfId="10" applyFont="1" applyFill="1" applyBorder="1" applyAlignment="1">
      <alignment horizontal="center" wrapText="1"/>
    </xf>
    <xf numFmtId="165" fontId="0" fillId="32" borderId="102" xfId="1" applyNumberFormat="1" applyFont="1" applyFill="1" applyBorder="1"/>
    <xf numFmtId="165" fontId="0" fillId="32" borderId="115" xfId="1" applyNumberFormat="1" applyFont="1" applyFill="1" applyBorder="1"/>
    <xf numFmtId="165" fontId="0" fillId="32" borderId="103" xfId="1" applyNumberFormat="1" applyFont="1" applyFill="1" applyBorder="1"/>
    <xf numFmtId="165" fontId="0" fillId="17" borderId="102" xfId="1" applyNumberFormat="1" applyFont="1" applyFill="1" applyBorder="1" applyAlignment="1">
      <alignment horizontal="center"/>
    </xf>
    <xf numFmtId="165" fontId="0" fillId="17" borderId="115" xfId="1" applyNumberFormat="1" applyFont="1" applyFill="1" applyBorder="1" applyAlignment="1">
      <alignment horizontal="center"/>
    </xf>
    <xf numFmtId="165" fontId="0" fillId="17" borderId="103" xfId="1" applyNumberFormat="1" applyFont="1" applyFill="1" applyBorder="1" applyAlignment="1">
      <alignment horizontal="center"/>
    </xf>
    <xf numFmtId="0" fontId="1" fillId="16" borderId="108" xfId="0" applyFont="1" applyFill="1" applyBorder="1" applyAlignment="1">
      <alignment horizontal="center" wrapText="1"/>
    </xf>
    <xf numFmtId="0" fontId="1" fillId="16" borderId="109" xfId="0" applyFont="1" applyFill="1" applyBorder="1" applyAlignment="1">
      <alignment horizontal="center" wrapText="1"/>
    </xf>
    <xf numFmtId="0" fontId="1" fillId="16" borderId="110" xfId="0" applyFont="1" applyFill="1" applyBorder="1" applyAlignment="1">
      <alignment horizontal="center" wrapText="1"/>
    </xf>
    <xf numFmtId="167" fontId="0" fillId="0" borderId="115" xfId="1" applyNumberFormat="1" applyFont="1" applyBorder="1" applyAlignment="1">
      <alignment horizontal="center"/>
    </xf>
    <xf numFmtId="0" fontId="51" fillId="0" borderId="29" xfId="0" applyFont="1" applyBorder="1" applyAlignment="1">
      <alignment vertical="center" textRotation="90"/>
    </xf>
    <xf numFmtId="0" fontId="37" fillId="39" borderId="95" xfId="0" applyFont="1" applyFill="1" applyBorder="1" applyAlignment="1">
      <alignment horizontal="right"/>
    </xf>
    <xf numFmtId="0" fontId="1" fillId="29" borderId="102" xfId="0" applyFont="1" applyFill="1" applyBorder="1" applyAlignment="1">
      <alignment vertical="top"/>
    </xf>
    <xf numFmtId="169" fontId="2" fillId="20" borderId="99" xfId="1" applyNumberFormat="1" applyFont="1" applyFill="1" applyBorder="1" applyAlignment="1" applyProtection="1">
      <alignment horizontal="center" wrapText="1"/>
      <protection locked="0"/>
    </xf>
    <xf numFmtId="169" fontId="2" fillId="20" borderId="15" xfId="1" applyNumberFormat="1" applyFont="1" applyFill="1" applyBorder="1" applyAlignment="1" applyProtection="1">
      <alignment horizontal="center" wrapText="1"/>
      <protection locked="0"/>
    </xf>
    <xf numFmtId="169" fontId="2" fillId="20" borderId="16" xfId="1" applyNumberFormat="1" applyFont="1" applyFill="1" applyBorder="1" applyAlignment="1" applyProtection="1">
      <alignment horizontal="center" wrapText="1"/>
      <protection locked="0"/>
    </xf>
    <xf numFmtId="0" fontId="2" fillId="0" borderId="0" xfId="0" applyFont="1" applyAlignment="1">
      <alignment wrapText="1"/>
    </xf>
    <xf numFmtId="43" fontId="0" fillId="9" borderId="53" xfId="1" applyFont="1" applyFill="1" applyBorder="1" applyAlignment="1">
      <alignment horizontal="center"/>
    </xf>
    <xf numFmtId="43" fontId="0" fillId="9" borderId="54" xfId="1" applyFont="1" applyFill="1" applyBorder="1" applyAlignment="1">
      <alignment horizontal="center"/>
    </xf>
    <xf numFmtId="43" fontId="0" fillId="9" borderId="55" xfId="1" applyFont="1" applyFill="1" applyBorder="1" applyAlignment="1">
      <alignment horizontal="center"/>
    </xf>
    <xf numFmtId="0" fontId="1" fillId="0" borderId="108" xfId="0" applyFont="1" applyBorder="1" applyAlignment="1">
      <alignment horizontal="center" wrapText="1"/>
    </xf>
    <xf numFmtId="0" fontId="1" fillId="0" borderId="167" xfId="0" applyFont="1" applyBorder="1" applyAlignment="1">
      <alignment horizontal="center"/>
    </xf>
    <xf numFmtId="0" fontId="35" fillId="44" borderId="116" xfId="13" applyFont="1" applyFill="1" applyBorder="1" applyAlignment="1">
      <alignment horizontal="center" wrapText="1"/>
    </xf>
    <xf numFmtId="0" fontId="35" fillId="44" borderId="66" xfId="13" applyFont="1" applyFill="1" applyBorder="1" applyAlignment="1">
      <alignment horizontal="center" wrapText="1"/>
    </xf>
    <xf numFmtId="0" fontId="18" fillId="28" borderId="168" xfId="13" applyFont="1" applyFill="1" applyBorder="1" applyAlignment="1">
      <alignment horizontal="center" wrapText="1"/>
    </xf>
    <xf numFmtId="3" fontId="11" fillId="16" borderId="57" xfId="1" applyNumberFormat="1" applyFont="1" applyFill="1" applyBorder="1" applyAlignment="1">
      <alignment horizontal="center"/>
    </xf>
    <xf numFmtId="14" fontId="0" fillId="30" borderId="11" xfId="0" applyNumberFormat="1" applyFill="1" applyBorder="1" applyAlignment="1">
      <alignment vertical="center"/>
    </xf>
    <xf numFmtId="0" fontId="2" fillId="38" borderId="164" xfId="0" applyFont="1" applyFill="1" applyBorder="1" applyAlignment="1">
      <alignment horizontal="center"/>
    </xf>
    <xf numFmtId="0" fontId="2" fillId="38" borderId="164" xfId="0" applyFont="1" applyFill="1" applyBorder="1" applyAlignment="1">
      <alignment horizontal="left"/>
    </xf>
    <xf numFmtId="0" fontId="2" fillId="38" borderId="141" xfId="1" applyNumberFormat="1" applyFont="1" applyFill="1" applyBorder="1" applyAlignment="1" applyProtection="1">
      <alignment horizontal="center"/>
    </xf>
    <xf numFmtId="38" fontId="2" fillId="38" borderId="165" xfId="1" applyNumberFormat="1" applyFont="1" applyFill="1" applyBorder="1" applyAlignment="1" applyProtection="1">
      <alignment horizontal="center"/>
      <protection locked="0"/>
    </xf>
    <xf numFmtId="0" fontId="2" fillId="38" borderId="11" xfId="0" applyFont="1" applyFill="1" applyBorder="1" applyAlignment="1">
      <alignment horizontal="center"/>
    </xf>
    <xf numFmtId="0" fontId="2" fillId="38" borderId="11" xfId="0" applyFont="1" applyFill="1" applyBorder="1" applyAlignment="1">
      <alignment horizontal="left"/>
    </xf>
    <xf numFmtId="0" fontId="2" fillId="38" borderId="143" xfId="1" applyNumberFormat="1" applyFont="1" applyFill="1" applyBorder="1" applyAlignment="1" applyProtection="1">
      <alignment horizontal="center"/>
    </xf>
    <xf numFmtId="38" fontId="2" fillId="38" borderId="16" xfId="1" applyNumberFormat="1" applyFont="1" applyFill="1" applyBorder="1" applyAlignment="1" applyProtection="1">
      <alignment horizontal="center"/>
      <protection locked="0"/>
    </xf>
    <xf numFmtId="0" fontId="2" fillId="4" borderId="171" xfId="0" applyFont="1" applyFill="1" applyBorder="1" applyAlignment="1">
      <alignment horizontal="center"/>
    </xf>
    <xf numFmtId="0" fontId="2" fillId="4" borderId="171" xfId="0" applyFont="1" applyFill="1" applyBorder="1"/>
    <xf numFmtId="0" fontId="2" fillId="4" borderId="141" xfId="0" applyFont="1" applyFill="1" applyBorder="1" applyAlignment="1">
      <alignment horizontal="center"/>
    </xf>
    <xf numFmtId="169" fontId="2" fillId="4" borderId="172" xfId="1" applyNumberFormat="1" applyFont="1" applyFill="1" applyBorder="1" applyAlignment="1" applyProtection="1">
      <alignment horizontal="center"/>
    </xf>
    <xf numFmtId="0" fontId="2" fillId="4" borderId="5" xfId="0" applyFont="1" applyFill="1" applyBorder="1" applyAlignment="1">
      <alignment horizontal="center"/>
    </xf>
    <xf numFmtId="0" fontId="2" fillId="4" borderId="5" xfId="0" applyFont="1" applyFill="1" applyBorder="1"/>
    <xf numFmtId="0" fontId="2" fillId="4" borderId="6" xfId="0" applyFont="1" applyFill="1" applyBorder="1" applyAlignment="1">
      <alignment horizontal="center"/>
    </xf>
    <xf numFmtId="169" fontId="2" fillId="4" borderId="17" xfId="1" applyNumberFormat="1" applyFont="1" applyFill="1" applyBorder="1" applyAlignment="1" applyProtection="1">
      <alignment horizontal="center"/>
    </xf>
    <xf numFmtId="0" fontId="2" fillId="4" borderId="173" xfId="0" applyFont="1" applyFill="1" applyBorder="1" applyAlignment="1">
      <alignment horizontal="center"/>
    </xf>
    <xf numFmtId="0" fontId="2" fillId="4" borderId="173" xfId="0" applyFont="1" applyFill="1" applyBorder="1"/>
    <xf numFmtId="0" fontId="2" fillId="4" borderId="143" xfId="0" applyFont="1" applyFill="1" applyBorder="1" applyAlignment="1">
      <alignment horizontal="center"/>
    </xf>
    <xf numFmtId="169" fontId="2" fillId="4" borderId="174" xfId="1" applyNumberFormat="1" applyFont="1" applyFill="1" applyBorder="1" applyAlignment="1" applyProtection="1">
      <alignment horizontal="center"/>
    </xf>
    <xf numFmtId="0" fontId="2" fillId="5" borderId="171" xfId="0" applyFont="1" applyFill="1" applyBorder="1" applyAlignment="1">
      <alignment horizontal="center"/>
    </xf>
    <xf numFmtId="0" fontId="2" fillId="5" borderId="171" xfId="0" applyFont="1" applyFill="1" applyBorder="1"/>
    <xf numFmtId="165" fontId="0" fillId="5" borderId="141" xfId="1" applyNumberFormat="1" applyFont="1" applyFill="1" applyBorder="1" applyAlignment="1" applyProtection="1">
      <alignment horizontal="center"/>
    </xf>
    <xf numFmtId="38" fontId="2" fillId="5" borderId="172" xfId="1" applyNumberFormat="1" applyFont="1" applyFill="1" applyBorder="1" applyAlignment="1" applyProtection="1">
      <alignment horizontal="center"/>
      <protection locked="0"/>
    </xf>
    <xf numFmtId="0" fontId="2" fillId="5" borderId="5" xfId="0" applyFont="1" applyFill="1" applyBorder="1" applyAlignment="1">
      <alignment horizontal="center"/>
    </xf>
    <xf numFmtId="0" fontId="2" fillId="5" borderId="5" xfId="0" applyFont="1" applyFill="1" applyBorder="1"/>
    <xf numFmtId="165" fontId="0" fillId="5" borderId="6" xfId="1" applyNumberFormat="1" applyFont="1" applyFill="1" applyBorder="1" applyAlignment="1" applyProtection="1">
      <alignment horizontal="center"/>
    </xf>
    <xf numFmtId="38" fontId="2" fillId="5" borderId="17" xfId="1" applyNumberFormat="1" applyFont="1" applyFill="1" applyBorder="1" applyAlignment="1" applyProtection="1">
      <alignment horizontal="center"/>
      <protection locked="0"/>
    </xf>
    <xf numFmtId="0" fontId="2" fillId="5" borderId="173" xfId="0" applyFont="1" applyFill="1" applyBorder="1" applyAlignment="1">
      <alignment horizontal="center"/>
    </xf>
    <xf numFmtId="0" fontId="2" fillId="5" borderId="173" xfId="0" applyFont="1" applyFill="1" applyBorder="1"/>
    <xf numFmtId="165" fontId="0" fillId="5" borderId="143" xfId="1" applyNumberFormat="1" applyFont="1" applyFill="1" applyBorder="1" applyAlignment="1" applyProtection="1">
      <alignment horizontal="center"/>
    </xf>
    <xf numFmtId="38" fontId="2" fillId="5" borderId="174" xfId="1" applyNumberFormat="1" applyFont="1" applyFill="1" applyBorder="1" applyAlignment="1" applyProtection="1">
      <alignment horizontal="center"/>
      <protection locked="0"/>
    </xf>
    <xf numFmtId="0" fontId="2" fillId="8" borderId="171" xfId="0" applyFont="1" applyFill="1" applyBorder="1" applyAlignment="1">
      <alignment horizontal="center"/>
    </xf>
    <xf numFmtId="0" fontId="2" fillId="8" borderId="171" xfId="0" applyFont="1" applyFill="1" applyBorder="1"/>
    <xf numFmtId="165" fontId="2" fillId="8" borderId="141" xfId="1" applyNumberFormat="1" applyFont="1" applyFill="1" applyBorder="1" applyAlignment="1" applyProtection="1">
      <alignment horizontal="center"/>
    </xf>
    <xf numFmtId="38" fontId="2" fillId="8" borderId="172" xfId="0" applyNumberFormat="1" applyFont="1" applyFill="1" applyBorder="1" applyAlignment="1" applyProtection="1">
      <alignment horizontal="center"/>
      <protection locked="0"/>
    </xf>
    <xf numFmtId="0" fontId="2" fillId="8" borderId="5" xfId="0" applyFont="1" applyFill="1" applyBorder="1" applyAlignment="1">
      <alignment horizontal="center"/>
    </xf>
    <xf numFmtId="0" fontId="2" fillId="8" borderId="5" xfId="0" applyFont="1" applyFill="1" applyBorder="1"/>
    <xf numFmtId="165" fontId="2" fillId="8" borderId="6" xfId="1" applyNumberFormat="1" applyFont="1" applyFill="1" applyBorder="1" applyAlignment="1" applyProtection="1">
      <alignment horizontal="center"/>
    </xf>
    <xf numFmtId="38" fontId="2" fillId="8" borderId="17" xfId="0" applyNumberFormat="1" applyFont="1" applyFill="1" applyBorder="1" applyAlignment="1" applyProtection="1">
      <alignment horizontal="center"/>
      <protection locked="0"/>
    </xf>
    <xf numFmtId="0" fontId="2" fillId="8" borderId="173" xfId="0" applyFont="1" applyFill="1" applyBorder="1" applyAlignment="1">
      <alignment horizontal="center"/>
    </xf>
    <xf numFmtId="0" fontId="2" fillId="8" borderId="173" xfId="0" applyFont="1" applyFill="1" applyBorder="1"/>
    <xf numFmtId="165" fontId="2" fillId="8" borderId="143" xfId="1" applyNumberFormat="1" applyFont="1" applyFill="1" applyBorder="1" applyAlignment="1" applyProtection="1">
      <alignment horizontal="center"/>
    </xf>
    <xf numFmtId="38" fontId="2" fillId="8" borderId="174" xfId="0" applyNumberFormat="1" applyFont="1" applyFill="1" applyBorder="1" applyAlignment="1" applyProtection="1">
      <alignment horizontal="center"/>
      <protection locked="0"/>
    </xf>
    <xf numFmtId="0" fontId="2" fillId="2" borderId="171" xfId="0" applyFont="1" applyFill="1" applyBorder="1" applyAlignment="1">
      <alignment horizontal="center"/>
    </xf>
    <xf numFmtId="0" fontId="2" fillId="2" borderId="171" xfId="0" applyFont="1" applyFill="1" applyBorder="1"/>
    <xf numFmtId="165" fontId="2" fillId="2" borderId="141" xfId="1" applyNumberFormat="1" applyFont="1" applyFill="1" applyBorder="1" applyAlignment="1" applyProtection="1">
      <alignment horizontal="center"/>
    </xf>
    <xf numFmtId="38" fontId="2" fillId="2" borderId="172" xfId="0" applyNumberFormat="1" applyFont="1" applyFill="1" applyBorder="1" applyAlignment="1" applyProtection="1">
      <alignment horizontal="center"/>
      <protection locked="0"/>
    </xf>
    <xf numFmtId="0" fontId="2" fillId="2" borderId="5" xfId="0" applyFont="1" applyFill="1" applyBorder="1"/>
    <xf numFmtId="165" fontId="2" fillId="2" borderId="6" xfId="1" applyNumberFormat="1" applyFont="1" applyFill="1" applyBorder="1" applyAlignment="1" applyProtection="1">
      <alignment horizontal="center"/>
    </xf>
    <xf numFmtId="38" fontId="2" fillId="2" borderId="17" xfId="0" applyNumberFormat="1" applyFont="1" applyFill="1" applyBorder="1" applyAlignment="1" applyProtection="1">
      <alignment horizontal="center"/>
      <protection locked="0"/>
    </xf>
    <xf numFmtId="0" fontId="2" fillId="2" borderId="173" xfId="0" applyFont="1" applyFill="1" applyBorder="1" applyAlignment="1">
      <alignment horizontal="center"/>
    </xf>
    <xf numFmtId="0" fontId="2" fillId="2" borderId="173" xfId="0" applyFont="1" applyFill="1" applyBorder="1"/>
    <xf numFmtId="165" fontId="2" fillId="2" borderId="143" xfId="1" applyNumberFormat="1" applyFont="1" applyFill="1" applyBorder="1" applyAlignment="1" applyProtection="1">
      <alignment horizontal="center"/>
    </xf>
    <xf numFmtId="38" fontId="2" fillId="2" borderId="174" xfId="0" applyNumberFormat="1" applyFont="1" applyFill="1" applyBorder="1" applyAlignment="1" applyProtection="1">
      <alignment horizontal="center"/>
      <protection locked="0"/>
    </xf>
    <xf numFmtId="0" fontId="2" fillId="9" borderId="171" xfId="0" applyFont="1" applyFill="1" applyBorder="1" applyAlignment="1">
      <alignment horizontal="center"/>
    </xf>
    <xf numFmtId="0" fontId="2" fillId="9" borderId="141" xfId="0" applyFont="1" applyFill="1" applyBorder="1"/>
    <xf numFmtId="0" fontId="2" fillId="9" borderId="141" xfId="0" applyFont="1" applyFill="1" applyBorder="1" applyAlignment="1">
      <alignment horizontal="center"/>
    </xf>
    <xf numFmtId="38" fontId="2" fillId="9" borderId="172" xfId="0" applyNumberFormat="1" applyFont="1" applyFill="1" applyBorder="1" applyAlignment="1" applyProtection="1">
      <alignment horizontal="center"/>
      <protection locked="0"/>
    </xf>
    <xf numFmtId="0" fontId="2" fillId="9" borderId="173" xfId="0" applyFont="1" applyFill="1" applyBorder="1" applyAlignment="1">
      <alignment horizontal="center"/>
    </xf>
    <xf numFmtId="0" fontId="2" fillId="9" borderId="143" xfId="0" applyFont="1" applyFill="1" applyBorder="1"/>
    <xf numFmtId="0" fontId="2" fillId="9" borderId="143" xfId="0" applyFont="1" applyFill="1" applyBorder="1" applyAlignment="1">
      <alignment horizontal="center"/>
    </xf>
    <xf numFmtId="38" fontId="2" fillId="9" borderId="174" xfId="0" applyNumberFormat="1" applyFont="1" applyFill="1" applyBorder="1" applyAlignment="1" applyProtection="1">
      <alignment horizontal="center"/>
      <protection locked="0"/>
    </xf>
    <xf numFmtId="164" fontId="2" fillId="4" borderId="172" xfId="1" applyNumberFormat="1" applyFont="1" applyFill="1" applyBorder="1" applyAlignment="1" applyProtection="1">
      <alignment horizontal="left"/>
    </xf>
    <xf numFmtId="164" fontId="2" fillId="4" borderId="17" xfId="1" applyNumberFormat="1" applyFont="1" applyFill="1" applyBorder="1" applyAlignment="1" applyProtection="1">
      <alignment horizontal="left"/>
    </xf>
    <xf numFmtId="164" fontId="2" fillId="4" borderId="174" xfId="1" applyNumberFormat="1" applyFont="1" applyFill="1" applyBorder="1" applyAlignment="1" applyProtection="1">
      <alignment horizontal="left"/>
    </xf>
    <xf numFmtId="0" fontId="2" fillId="4" borderId="175" xfId="0" applyFont="1" applyFill="1" applyBorder="1" applyAlignment="1">
      <alignment horizontal="center"/>
    </xf>
    <xf numFmtId="164" fontId="2" fillId="4" borderId="165" xfId="1" applyNumberFormat="1" applyFont="1" applyFill="1" applyBorder="1" applyAlignment="1" applyProtection="1">
      <alignment horizontal="left"/>
    </xf>
    <xf numFmtId="0" fontId="2" fillId="4" borderId="29" xfId="0" applyFont="1" applyFill="1" applyBorder="1" applyAlignment="1">
      <alignment horizontal="center"/>
    </xf>
    <xf numFmtId="164" fontId="2" fillId="4" borderId="15" xfId="1" applyNumberFormat="1" applyFont="1" applyFill="1" applyBorder="1" applyAlignment="1" applyProtection="1">
      <alignment horizontal="left"/>
    </xf>
    <xf numFmtId="0" fontId="2" fillId="4" borderId="30" xfId="0" applyFont="1" applyFill="1" applyBorder="1" applyAlignment="1">
      <alignment horizontal="center"/>
    </xf>
    <xf numFmtId="164" fontId="2" fillId="4" borderId="16" xfId="1" applyNumberFormat="1" applyFont="1" applyFill="1" applyBorder="1" applyAlignment="1" applyProtection="1">
      <alignment horizontal="left"/>
    </xf>
    <xf numFmtId="0" fontId="1" fillId="0" borderId="177" xfId="0" applyFont="1" applyBorder="1" applyAlignment="1">
      <alignment horizontal="center"/>
    </xf>
    <xf numFmtId="0" fontId="18" fillId="0" borderId="124" xfId="10" applyFont="1" applyBorder="1" applyAlignment="1">
      <alignment horizontal="center" wrapText="1"/>
    </xf>
    <xf numFmtId="165" fontId="0" fillId="32" borderId="122" xfId="1" applyNumberFormat="1" applyFont="1" applyFill="1" applyBorder="1"/>
    <xf numFmtId="165" fontId="0" fillId="32" borderId="123" xfId="1" applyNumberFormat="1" applyFont="1" applyFill="1" applyBorder="1"/>
    <xf numFmtId="165" fontId="0" fillId="32" borderId="124" xfId="1" applyNumberFormat="1" applyFont="1" applyFill="1" applyBorder="1"/>
    <xf numFmtId="165" fontId="0" fillId="17" borderId="122" xfId="1" applyNumberFormat="1" applyFont="1" applyFill="1" applyBorder="1" applyAlignment="1">
      <alignment horizontal="center"/>
    </xf>
    <xf numFmtId="165" fontId="0" fillId="17" borderId="123" xfId="1" applyNumberFormat="1" applyFont="1" applyFill="1" applyBorder="1" applyAlignment="1">
      <alignment horizontal="center"/>
    </xf>
    <xf numFmtId="165" fontId="0" fillId="17" borderId="124" xfId="1" applyNumberFormat="1" applyFont="1" applyFill="1" applyBorder="1" applyAlignment="1">
      <alignment horizontal="center"/>
    </xf>
    <xf numFmtId="0" fontId="0" fillId="22" borderId="122" xfId="0" applyFill="1" applyBorder="1" applyAlignment="1">
      <alignment horizontal="center"/>
    </xf>
    <xf numFmtId="0" fontId="0" fillId="22" borderId="123" xfId="0" applyFill="1" applyBorder="1" applyAlignment="1">
      <alignment horizontal="center"/>
    </xf>
    <xf numFmtId="0" fontId="0" fillId="22" borderId="124" xfId="0" applyFill="1" applyBorder="1" applyAlignment="1">
      <alignment horizontal="center"/>
    </xf>
    <xf numFmtId="0" fontId="0" fillId="42" borderId="122" xfId="0" applyFill="1" applyBorder="1" applyAlignment="1">
      <alignment horizontal="center"/>
    </xf>
    <xf numFmtId="0" fontId="0" fillId="42" borderId="123" xfId="0" applyFill="1" applyBorder="1" applyAlignment="1">
      <alignment horizontal="center"/>
    </xf>
    <xf numFmtId="0" fontId="0" fillId="42" borderId="124" xfId="0" applyFill="1" applyBorder="1" applyAlignment="1">
      <alignment horizontal="center"/>
    </xf>
    <xf numFmtId="0" fontId="0" fillId="40" borderId="122" xfId="0" applyFill="1" applyBorder="1" applyAlignment="1">
      <alignment horizontal="center"/>
    </xf>
    <xf numFmtId="0" fontId="0" fillId="40" borderId="123" xfId="0" applyFill="1" applyBorder="1" applyAlignment="1">
      <alignment horizontal="center"/>
    </xf>
    <xf numFmtId="0" fontId="0" fillId="40" borderId="124"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9" borderId="124" xfId="0" applyFill="1" applyBorder="1" applyAlignment="1">
      <alignment horizontal="center"/>
    </xf>
    <xf numFmtId="0" fontId="0" fillId="43" borderId="122" xfId="0" applyFill="1" applyBorder="1" applyAlignment="1">
      <alignment horizontal="center"/>
    </xf>
    <xf numFmtId="0" fontId="0" fillId="43" borderId="123" xfId="0" applyFill="1" applyBorder="1" applyAlignment="1">
      <alignment horizontal="center"/>
    </xf>
    <xf numFmtId="0" fontId="0" fillId="43" borderId="124" xfId="0" applyFill="1" applyBorder="1" applyAlignment="1">
      <alignment horizontal="center"/>
    </xf>
    <xf numFmtId="0" fontId="0" fillId="32" borderId="122" xfId="0" applyFill="1" applyBorder="1" applyAlignment="1">
      <alignment horizontal="center"/>
    </xf>
    <xf numFmtId="0" fontId="0" fillId="32" borderId="123" xfId="0" applyFill="1" applyBorder="1" applyAlignment="1">
      <alignment horizontal="center"/>
    </xf>
    <xf numFmtId="0" fontId="0" fillId="32" borderId="124" xfId="0" applyFill="1" applyBorder="1" applyAlignment="1">
      <alignment horizontal="center"/>
    </xf>
    <xf numFmtId="0" fontId="18" fillId="0" borderId="122" xfId="10" applyFont="1" applyBorder="1" applyAlignment="1">
      <alignment horizontal="center" wrapText="1"/>
    </xf>
    <xf numFmtId="0" fontId="18" fillId="28" borderId="122" xfId="13" applyFont="1" applyFill="1" applyBorder="1" applyAlignment="1">
      <alignment horizontal="center" wrapText="1"/>
    </xf>
    <xf numFmtId="0" fontId="18" fillId="28" borderId="124" xfId="13" applyFont="1" applyFill="1" applyBorder="1" applyAlignment="1">
      <alignment horizontal="center" wrapText="1"/>
    </xf>
    <xf numFmtId="0" fontId="0" fillId="2" borderId="122" xfId="0" applyFill="1" applyBorder="1" applyAlignment="1">
      <alignment horizontal="center"/>
    </xf>
    <xf numFmtId="0" fontId="0" fillId="2" borderId="123" xfId="0" applyFill="1" applyBorder="1" applyAlignment="1">
      <alignment horizontal="center"/>
    </xf>
    <xf numFmtId="0" fontId="0" fillId="2" borderId="124" xfId="0" applyFill="1" applyBorder="1" applyAlignment="1">
      <alignment horizontal="center"/>
    </xf>
    <xf numFmtId="165" fontId="0" fillId="10" borderId="122" xfId="1" applyNumberFormat="1" applyFont="1" applyFill="1" applyBorder="1" applyAlignment="1">
      <alignment horizontal="center"/>
    </xf>
    <xf numFmtId="165" fontId="0" fillId="10" borderId="123" xfId="1" applyNumberFormat="1" applyFont="1" applyFill="1" applyBorder="1" applyAlignment="1">
      <alignment horizontal="center"/>
    </xf>
    <xf numFmtId="165" fontId="0" fillId="10" borderId="124" xfId="1" applyNumberFormat="1" applyFont="1" applyFill="1" applyBorder="1" applyAlignment="1">
      <alignment horizontal="center"/>
    </xf>
    <xf numFmtId="165" fontId="0" fillId="27" borderId="122" xfId="1" applyNumberFormat="1" applyFont="1" applyFill="1" applyBorder="1" applyAlignment="1">
      <alignment horizontal="center"/>
    </xf>
    <xf numFmtId="165" fontId="0" fillId="27" borderId="123" xfId="1" applyNumberFormat="1" applyFont="1" applyFill="1" applyBorder="1" applyAlignment="1">
      <alignment horizontal="center"/>
    </xf>
    <xf numFmtId="165" fontId="0" fillId="27" borderId="124" xfId="1" applyNumberFormat="1" applyFont="1" applyFill="1" applyBorder="1" applyAlignment="1">
      <alignment horizontal="center"/>
    </xf>
    <xf numFmtId="165" fontId="0" fillId="28" borderId="122" xfId="1" applyNumberFormat="1" applyFont="1" applyFill="1" applyBorder="1" applyAlignment="1">
      <alignment horizontal="center"/>
    </xf>
    <xf numFmtId="165" fontId="0" fillId="28" borderId="123" xfId="1" applyNumberFormat="1" applyFont="1" applyFill="1" applyBorder="1" applyAlignment="1">
      <alignment horizontal="center"/>
    </xf>
    <xf numFmtId="165" fontId="0" fillId="28" borderId="124" xfId="1" applyNumberFormat="1" applyFont="1" applyFill="1" applyBorder="1" applyAlignment="1">
      <alignment horizontal="center"/>
    </xf>
    <xf numFmtId="43" fontId="2" fillId="25" borderId="96" xfId="1" applyFont="1" applyFill="1" applyBorder="1" applyAlignment="1">
      <alignment horizontal="center"/>
    </xf>
    <xf numFmtId="37" fontId="0" fillId="25" borderId="15" xfId="1" applyNumberFormat="1" applyFont="1" applyFill="1" applyBorder="1" applyAlignment="1">
      <alignment horizontal="center"/>
    </xf>
    <xf numFmtId="0" fontId="2" fillId="48" borderId="102" xfId="0" quotePrefix="1" applyFont="1" applyFill="1" applyBorder="1" applyAlignment="1" applyProtection="1">
      <alignment horizontal="left"/>
      <protection locked="0"/>
    </xf>
    <xf numFmtId="0" fontId="18" fillId="48" borderId="115" xfId="13" applyFont="1" applyFill="1" applyBorder="1" applyAlignment="1" applyProtection="1">
      <alignment horizontal="center" wrapText="1"/>
      <protection locked="0"/>
    </xf>
    <xf numFmtId="0" fontId="18" fillId="48" borderId="103" xfId="13" applyFont="1" applyFill="1" applyBorder="1" applyAlignment="1" applyProtection="1">
      <alignment horizontal="center" wrapText="1"/>
      <protection locked="0"/>
    </xf>
    <xf numFmtId="0" fontId="2" fillId="24" borderId="52" xfId="0" applyFont="1" applyFill="1" applyBorder="1" applyProtection="1">
      <protection locked="0"/>
    </xf>
    <xf numFmtId="0" fontId="2" fillId="24" borderId="53" xfId="0" applyFont="1" applyFill="1" applyBorder="1" applyProtection="1">
      <protection locked="0"/>
    </xf>
    <xf numFmtId="0" fontId="2" fillId="24" borderId="61" xfId="0" applyFont="1" applyFill="1" applyBorder="1" applyProtection="1">
      <protection locked="0"/>
    </xf>
    <xf numFmtId="0" fontId="2" fillId="19" borderId="115" xfId="0" applyFont="1" applyFill="1" applyBorder="1" applyProtection="1">
      <protection locked="0"/>
    </xf>
    <xf numFmtId="0" fontId="2" fillId="19" borderId="103" xfId="0" applyFont="1" applyFill="1" applyBorder="1" applyProtection="1">
      <protection locked="0"/>
    </xf>
    <xf numFmtId="0" fontId="18" fillId="0" borderId="50" xfId="10" applyFont="1" applyBorder="1" applyAlignment="1" applyProtection="1">
      <alignment horizontal="left" wrapText="1"/>
      <protection locked="0"/>
    </xf>
    <xf numFmtId="0" fontId="18" fillId="0" borderId="54" xfId="10" applyFont="1" applyBorder="1" applyAlignment="1" applyProtection="1">
      <alignment wrapText="1"/>
      <protection locked="0"/>
    </xf>
    <xf numFmtId="0" fontId="2" fillId="48" borderId="50" xfId="0" applyFont="1" applyFill="1" applyBorder="1" applyAlignment="1" applyProtection="1">
      <alignment horizontal="left"/>
      <protection locked="0"/>
    </xf>
    <xf numFmtId="0" fontId="18" fillId="48" borderId="54" xfId="13" applyFont="1" applyFill="1" applyBorder="1" applyAlignment="1" applyProtection="1">
      <alignment horizontal="center" wrapText="1"/>
      <protection locked="0"/>
    </xf>
    <xf numFmtId="0" fontId="18" fillId="48" borderId="56" xfId="13" applyFont="1" applyFill="1" applyBorder="1" applyAlignment="1" applyProtection="1">
      <alignment horizontal="center" wrapText="1"/>
      <protection locked="0"/>
    </xf>
    <xf numFmtId="0" fontId="2" fillId="24" borderId="50" xfId="0" applyFont="1" applyFill="1" applyBorder="1" applyProtection="1">
      <protection locked="0"/>
    </xf>
    <xf numFmtId="0" fontId="2" fillId="24" borderId="54" xfId="0" applyFont="1" applyFill="1" applyBorder="1" applyProtection="1">
      <protection locked="0"/>
    </xf>
    <xf numFmtId="0" fontId="2" fillId="24" borderId="56" xfId="0" applyFont="1" applyFill="1" applyBorder="1" applyProtection="1">
      <protection locked="0"/>
    </xf>
    <xf numFmtId="0" fontId="2" fillId="19" borderId="54" xfId="0" applyFont="1" applyFill="1" applyBorder="1" applyProtection="1">
      <protection locked="0"/>
    </xf>
    <xf numFmtId="0" fontId="2" fillId="19" borderId="56" xfId="0" applyFont="1" applyFill="1" applyBorder="1" applyProtection="1">
      <protection locked="0"/>
    </xf>
    <xf numFmtId="0" fontId="2" fillId="48" borderId="50" xfId="0" quotePrefix="1" applyFont="1" applyFill="1" applyBorder="1" applyAlignment="1" applyProtection="1">
      <alignment horizontal="left"/>
      <protection locked="0"/>
    </xf>
    <xf numFmtId="0" fontId="2" fillId="48" borderId="122" xfId="0" applyFont="1" applyFill="1" applyBorder="1" applyAlignment="1" applyProtection="1">
      <alignment horizontal="left"/>
      <protection locked="0"/>
    </xf>
    <xf numFmtId="0" fontId="18" fillId="48" borderId="123" xfId="13" applyFont="1" applyFill="1" applyBorder="1" applyAlignment="1" applyProtection="1">
      <alignment horizontal="center" wrapText="1"/>
      <protection locked="0"/>
    </xf>
    <xf numFmtId="0" fontId="18" fillId="48" borderId="124" xfId="13" applyFont="1" applyFill="1" applyBorder="1" applyAlignment="1" applyProtection="1">
      <alignment horizontal="center" wrapText="1"/>
      <protection locked="0"/>
    </xf>
    <xf numFmtId="0" fontId="2" fillId="24" borderId="122" xfId="0" applyFont="1" applyFill="1" applyBorder="1" applyProtection="1">
      <protection locked="0"/>
    </xf>
    <xf numFmtId="0" fontId="2" fillId="24" borderId="123" xfId="0" applyFont="1" applyFill="1" applyBorder="1" applyProtection="1">
      <protection locked="0"/>
    </xf>
    <xf numFmtId="0" fontId="2" fillId="24" borderId="124" xfId="0" applyFont="1" applyFill="1" applyBorder="1" applyProtection="1">
      <protection locked="0"/>
    </xf>
    <xf numFmtId="0" fontId="2" fillId="19" borderId="123" xfId="0" applyFont="1" applyFill="1" applyBorder="1" applyProtection="1">
      <protection locked="0"/>
    </xf>
    <xf numFmtId="0" fontId="2" fillId="19" borderId="124" xfId="0" applyFont="1" applyFill="1" applyBorder="1" applyProtection="1">
      <protection locked="0"/>
    </xf>
    <xf numFmtId="0" fontId="18" fillId="0" borderId="122" xfId="10" applyFont="1" applyBorder="1" applyAlignment="1" applyProtection="1">
      <alignment horizontal="left" wrapText="1"/>
      <protection locked="0"/>
    </xf>
    <xf numFmtId="0" fontId="18" fillId="0" borderId="123" xfId="10" applyFont="1" applyBorder="1" applyAlignment="1" applyProtection="1">
      <alignment wrapText="1"/>
      <protection locked="0"/>
    </xf>
    <xf numFmtId="0" fontId="2" fillId="48" borderId="51" xfId="0" applyFont="1" applyFill="1" applyBorder="1" applyAlignment="1" applyProtection="1">
      <alignment horizontal="left"/>
      <protection locked="0"/>
    </xf>
    <xf numFmtId="0" fontId="18" fillId="48" borderId="55" xfId="13" applyFont="1" applyFill="1" applyBorder="1" applyAlignment="1" applyProtection="1">
      <alignment horizontal="center" wrapText="1"/>
      <protection locked="0"/>
    </xf>
    <xf numFmtId="0" fontId="18" fillId="48" borderId="57" xfId="13" applyFont="1" applyFill="1" applyBorder="1" applyAlignment="1" applyProtection="1">
      <alignment horizontal="center" wrapText="1"/>
      <protection locked="0"/>
    </xf>
    <xf numFmtId="0" fontId="2" fillId="24" borderId="51" xfId="0" applyFont="1" applyFill="1" applyBorder="1" applyProtection="1">
      <protection locked="0"/>
    </xf>
    <xf numFmtId="0" fontId="2" fillId="24" borderId="55" xfId="0" applyFont="1" applyFill="1" applyBorder="1" applyProtection="1">
      <protection locked="0"/>
    </xf>
    <xf numFmtId="0" fontId="2" fillId="24" borderId="57" xfId="0" applyFont="1" applyFill="1" applyBorder="1" applyProtection="1">
      <protection locked="0"/>
    </xf>
    <xf numFmtId="0" fontId="2" fillId="19" borderId="55" xfId="0" applyFont="1" applyFill="1" applyBorder="1" applyProtection="1">
      <protection locked="0"/>
    </xf>
    <xf numFmtId="0" fontId="2" fillId="19" borderId="57" xfId="0" applyFont="1" applyFill="1" applyBorder="1" applyProtection="1">
      <protection locked="0"/>
    </xf>
    <xf numFmtId="0" fontId="18" fillId="0" borderId="51" xfId="10" applyFont="1" applyBorder="1" applyAlignment="1" applyProtection="1">
      <alignment horizontal="left" wrapText="1"/>
      <protection locked="0"/>
    </xf>
    <xf numFmtId="0" fontId="18" fillId="0" borderId="55" xfId="10" applyFont="1" applyBorder="1" applyAlignment="1" applyProtection="1">
      <alignment wrapText="1"/>
      <protection locked="0"/>
    </xf>
    <xf numFmtId="0" fontId="0" fillId="0" borderId="54" xfId="0" applyBorder="1" applyAlignment="1" applyProtection="1">
      <alignment horizontal="center"/>
      <protection locked="0"/>
    </xf>
    <xf numFmtId="0" fontId="2" fillId="0" borderId="54" xfId="0" applyFont="1" applyBorder="1" applyAlignment="1" applyProtection="1">
      <alignment horizontal="center"/>
      <protection locked="0"/>
    </xf>
    <xf numFmtId="0" fontId="2" fillId="0" borderId="56" xfId="0" applyFont="1" applyBorder="1" applyAlignment="1" applyProtection="1">
      <alignment horizontal="center"/>
      <protection locked="0"/>
    </xf>
    <xf numFmtId="0" fontId="0" fillId="0" borderId="123" xfId="0" applyBorder="1" applyAlignment="1" applyProtection="1">
      <alignment horizontal="center"/>
      <protection locked="0"/>
    </xf>
    <xf numFmtId="0" fontId="2" fillId="0" borderId="123" xfId="0" applyFont="1" applyBorder="1" applyAlignment="1" applyProtection="1">
      <alignment horizontal="center"/>
      <protection locked="0"/>
    </xf>
    <xf numFmtId="0" fontId="2" fillId="0" borderId="124" xfId="0" applyFont="1" applyBorder="1" applyAlignment="1" applyProtection="1">
      <alignment horizontal="center"/>
      <protection locked="0"/>
    </xf>
    <xf numFmtId="0" fontId="0" fillId="0" borderId="55" xfId="0" applyBorder="1" applyAlignment="1" applyProtection="1">
      <alignment horizontal="center"/>
      <protection locked="0"/>
    </xf>
    <xf numFmtId="0" fontId="2" fillId="0" borderId="55" xfId="0" applyFont="1" applyBorder="1" applyAlignment="1" applyProtection="1">
      <alignment horizontal="center"/>
      <protection locked="0"/>
    </xf>
    <xf numFmtId="0" fontId="2" fillId="0" borderId="57" xfId="0" applyFont="1" applyBorder="1" applyAlignment="1" applyProtection="1">
      <alignment horizontal="center"/>
      <protection locked="0"/>
    </xf>
    <xf numFmtId="0" fontId="2" fillId="19" borderId="102" xfId="0" applyFont="1" applyFill="1" applyBorder="1"/>
    <xf numFmtId="0" fontId="2" fillId="19" borderId="50" xfId="0" applyFont="1" applyFill="1" applyBorder="1"/>
    <xf numFmtId="0" fontId="2" fillId="19" borderId="122" xfId="0" applyFont="1" applyFill="1" applyBorder="1"/>
    <xf numFmtId="0" fontId="2" fillId="19" borderId="51" xfId="0" applyFont="1" applyFill="1" applyBorder="1"/>
    <xf numFmtId="0" fontId="35" fillId="51" borderId="56" xfId="10" applyFont="1" applyFill="1" applyBorder="1" applyAlignment="1">
      <alignment horizontal="center" wrapText="1"/>
    </xf>
    <xf numFmtId="0" fontId="18" fillId="50" borderId="56" xfId="10" applyFont="1" applyFill="1" applyBorder="1" applyAlignment="1">
      <alignment horizontal="center" wrapText="1"/>
    </xf>
    <xf numFmtId="0" fontId="0" fillId="28" borderId="106" xfId="0" applyFill="1" applyBorder="1" applyAlignment="1">
      <alignment horizontal="center"/>
    </xf>
    <xf numFmtId="0" fontId="0" fillId="28" borderId="27" xfId="0" applyFill="1" applyBorder="1" applyAlignment="1">
      <alignment horizontal="center"/>
    </xf>
    <xf numFmtId="0" fontId="1" fillId="18" borderId="178" xfId="0" applyFont="1" applyFill="1" applyBorder="1" applyAlignment="1">
      <alignment horizontal="center"/>
    </xf>
    <xf numFmtId="0" fontId="1" fillId="18" borderId="65" xfId="0" applyFont="1" applyFill="1" applyBorder="1" applyAlignment="1">
      <alignment horizontal="center" wrapText="1"/>
    </xf>
    <xf numFmtId="0" fontId="1" fillId="18" borderId="140" xfId="0" applyFont="1" applyFill="1" applyBorder="1" applyAlignment="1">
      <alignment horizontal="center"/>
    </xf>
    <xf numFmtId="0" fontId="1" fillId="18" borderId="129" xfId="0" applyFont="1" applyFill="1" applyBorder="1" applyAlignment="1">
      <alignment horizontal="center" wrapText="1"/>
    </xf>
    <xf numFmtId="0" fontId="1" fillId="20" borderId="0" xfId="0" applyFont="1" applyFill="1" applyAlignment="1" applyProtection="1">
      <alignment horizontal="center"/>
      <protection locked="0"/>
    </xf>
    <xf numFmtId="0" fontId="7" fillId="20" borderId="0" xfId="0" applyFont="1" applyFill="1" applyAlignment="1" applyProtection="1">
      <alignment horizontal="center"/>
      <protection locked="0"/>
    </xf>
    <xf numFmtId="0" fontId="1" fillId="20" borderId="27" xfId="0" applyFont="1" applyFill="1" applyBorder="1" applyAlignment="1" applyProtection="1">
      <alignment horizontal="center"/>
      <protection locked="0"/>
    </xf>
    <xf numFmtId="0" fontId="92" fillId="53" borderId="137" xfId="11" applyFont="1" applyFill="1" applyBorder="1" applyAlignment="1">
      <alignment horizontal="left" vertical="center"/>
    </xf>
    <xf numFmtId="0" fontId="40" fillId="20" borderId="138" xfId="11" applyFont="1" applyFill="1" applyBorder="1" applyAlignment="1">
      <alignment horizontal="left" vertical="center"/>
    </xf>
    <xf numFmtId="0" fontId="40" fillId="20" borderId="139" xfId="11" applyFont="1" applyFill="1" applyBorder="1" applyAlignment="1">
      <alignment horizontal="left" vertical="center"/>
    </xf>
    <xf numFmtId="49" fontId="38" fillId="53" borderId="91" xfId="11" applyNumberFormat="1" applyFont="1" applyFill="1" applyBorder="1" applyAlignment="1">
      <alignment horizontal="center" vertical="center"/>
    </xf>
    <xf numFmtId="0" fontId="38" fillId="53" borderId="92" xfId="11" applyFont="1" applyFill="1" applyBorder="1" applyAlignment="1">
      <alignment horizontal="center" vertical="center"/>
    </xf>
    <xf numFmtId="49" fontId="38" fillId="20" borderId="54" xfId="11" applyNumberFormat="1" applyFont="1" applyFill="1" applyBorder="1" applyAlignment="1">
      <alignment horizontal="center" vertical="center"/>
    </xf>
    <xf numFmtId="0" fontId="38" fillId="20" borderId="56" xfId="11" applyFont="1" applyFill="1" applyBorder="1" applyAlignment="1">
      <alignment horizontal="center" vertical="center"/>
    </xf>
    <xf numFmtId="49" fontId="38" fillId="20" borderId="55" xfId="11" applyNumberFormat="1" applyFont="1" applyFill="1" applyBorder="1" applyAlignment="1">
      <alignment horizontal="center" vertical="center"/>
    </xf>
    <xf numFmtId="0" fontId="38" fillId="20" borderId="57" xfId="11" applyFont="1" applyFill="1" applyBorder="1" applyAlignment="1">
      <alignment horizontal="center" vertical="center"/>
    </xf>
    <xf numFmtId="0" fontId="84" fillId="20" borderId="13" xfId="17" applyFont="1" applyFill="1" applyBorder="1" applyAlignment="1">
      <alignment horizontal="center" vertical="center" wrapText="1"/>
    </xf>
    <xf numFmtId="0" fontId="84" fillId="20" borderId="1" xfId="17" applyFont="1" applyFill="1" applyBorder="1" applyAlignment="1">
      <alignment horizontal="center" vertical="center" wrapText="1"/>
    </xf>
    <xf numFmtId="0" fontId="84" fillId="20" borderId="40" xfId="17" applyFont="1" applyFill="1" applyBorder="1" applyAlignment="1">
      <alignment horizontal="center" vertical="center" wrapText="1"/>
    </xf>
    <xf numFmtId="0" fontId="84" fillId="20" borderId="2" xfId="17" applyFont="1" applyFill="1" applyBorder="1" applyAlignment="1">
      <alignment horizontal="center" vertical="center" wrapText="1"/>
    </xf>
    <xf numFmtId="0" fontId="84" fillId="20" borderId="18" xfId="17" applyFont="1" applyFill="1" applyBorder="1" applyAlignment="1">
      <alignment horizontal="center" vertical="center" wrapText="1"/>
    </xf>
    <xf numFmtId="0" fontId="38" fillId="20" borderId="129" xfId="11" applyFont="1" applyFill="1" applyBorder="1" applyAlignment="1">
      <alignment horizontal="center" vertical="center"/>
    </xf>
    <xf numFmtId="0" fontId="38" fillId="20" borderId="128" xfId="11" applyFont="1" applyFill="1" applyBorder="1" applyAlignment="1">
      <alignment horizontal="center" vertical="center"/>
    </xf>
    <xf numFmtId="0" fontId="38" fillId="53" borderId="140" xfId="11" applyFont="1" applyFill="1" applyBorder="1" applyAlignment="1">
      <alignment horizontal="center" vertical="center"/>
    </xf>
    <xf numFmtId="0" fontId="104" fillId="0" borderId="54" xfId="14" applyFont="1" applyBorder="1" applyAlignment="1">
      <alignment wrapText="1"/>
    </xf>
    <xf numFmtId="0" fontId="104" fillId="0" borderId="54" xfId="14" applyFont="1" applyBorder="1" applyAlignment="1">
      <alignment horizontal="center" wrapText="1"/>
    </xf>
    <xf numFmtId="0" fontId="99" fillId="0" borderId="64" xfId="12" applyFont="1" applyBorder="1" applyAlignment="1">
      <alignment horizontal="center" vertical="top" wrapText="1"/>
    </xf>
    <xf numFmtId="0" fontId="99" fillId="0" borderId="182" xfId="12" applyFont="1" applyBorder="1" applyAlignment="1">
      <alignment horizontal="center" vertical="top" wrapText="1"/>
    </xf>
    <xf numFmtId="0" fontId="100" fillId="0" borderId="0" xfId="0" applyFont="1" applyAlignment="1">
      <alignment horizontal="left" vertical="top" wrapText="1"/>
    </xf>
    <xf numFmtId="0" fontId="99" fillId="0" borderId="0" xfId="0" applyFont="1" applyAlignment="1">
      <alignment horizontal="left" vertical="top" wrapText="1"/>
    </xf>
    <xf numFmtId="3" fontId="99" fillId="0" borderId="176" xfId="1" applyNumberFormat="1" applyFont="1" applyBorder="1" applyAlignment="1">
      <alignment horizontal="center" vertical="top"/>
    </xf>
    <xf numFmtId="0" fontId="99" fillId="0" borderId="0" xfId="0" applyFont="1" applyAlignment="1">
      <alignment horizontal="left" vertical="top"/>
    </xf>
    <xf numFmtId="3" fontId="99" fillId="0" borderId="136" xfId="1" applyNumberFormat="1" applyFont="1" applyBorder="1" applyAlignment="1">
      <alignment horizontal="center" vertical="top"/>
    </xf>
    <xf numFmtId="0" fontId="99" fillId="0" borderId="0" xfId="0" applyFont="1" applyAlignment="1">
      <alignment horizontal="center" vertical="top"/>
    </xf>
    <xf numFmtId="0" fontId="100" fillId="0" borderId="29" xfId="0" applyFont="1" applyBorder="1" applyAlignment="1">
      <alignment vertical="center"/>
    </xf>
    <xf numFmtId="0" fontId="100" fillId="0" borderId="30" xfId="0" applyFont="1" applyBorder="1" applyAlignment="1">
      <alignment vertical="center"/>
    </xf>
    <xf numFmtId="3" fontId="99" fillId="0" borderId="183" xfId="1" applyNumberFormat="1" applyFont="1" applyBorder="1" applyAlignment="1">
      <alignment horizontal="center" vertical="top"/>
    </xf>
    <xf numFmtId="0" fontId="99" fillId="0" borderId="63" xfId="12" applyFont="1" applyBorder="1" applyAlignment="1">
      <alignment horizontal="center" vertical="top" wrapText="1"/>
    </xf>
    <xf numFmtId="0" fontId="98" fillId="14" borderId="104" xfId="8" applyFont="1" applyFill="1" applyBorder="1" applyAlignment="1">
      <alignment horizontal="center" vertical="top"/>
    </xf>
    <xf numFmtId="0" fontId="98" fillId="14" borderId="126" xfId="8" applyFont="1" applyFill="1" applyBorder="1" applyAlignment="1">
      <alignment horizontal="center" vertical="top"/>
    </xf>
    <xf numFmtId="0" fontId="98" fillId="14" borderId="144" xfId="15" applyFont="1" applyFill="1" applyBorder="1" applyAlignment="1">
      <alignment horizontal="left" vertical="top" wrapText="1"/>
    </xf>
    <xf numFmtId="0" fontId="1" fillId="30" borderId="10" xfId="0" applyFont="1" applyFill="1" applyBorder="1"/>
    <xf numFmtId="0" fontId="15" fillId="30" borderId="0" xfId="0" applyFont="1" applyFill="1" applyAlignment="1">
      <alignment vertical="center"/>
    </xf>
    <xf numFmtId="0" fontId="15" fillId="30" borderId="15" xfId="0" applyFont="1" applyFill="1" applyBorder="1" applyAlignment="1">
      <alignment vertical="center"/>
    </xf>
    <xf numFmtId="0" fontId="2" fillId="30" borderId="0" xfId="0" applyFont="1" applyFill="1"/>
    <xf numFmtId="0" fontId="15" fillId="30" borderId="15" xfId="0" applyFont="1" applyFill="1" applyBorder="1"/>
    <xf numFmtId="0" fontId="1" fillId="18" borderId="102" xfId="0" applyFont="1" applyFill="1" applyBorder="1" applyAlignment="1">
      <alignment horizontal="center"/>
    </xf>
    <xf numFmtId="0" fontId="1" fillId="18" borderId="168" xfId="0" applyFont="1" applyFill="1" applyBorder="1" applyAlignment="1">
      <alignment horizontal="center"/>
    </xf>
    <xf numFmtId="0" fontId="1" fillId="18" borderId="51" xfId="0" applyFont="1" applyFill="1" applyBorder="1" applyAlignment="1">
      <alignment horizontal="center" wrapText="1"/>
    </xf>
    <xf numFmtId="0" fontId="1" fillId="18" borderId="57" xfId="0" applyFont="1" applyFill="1" applyBorder="1" applyAlignment="1">
      <alignment horizontal="center" wrapText="1"/>
    </xf>
    <xf numFmtId="0" fontId="90" fillId="54" borderId="53" xfId="0" applyFont="1" applyFill="1" applyBorder="1" applyAlignment="1" applyProtection="1">
      <alignment horizontal="center" vertical="center"/>
      <protection locked="0"/>
    </xf>
    <xf numFmtId="0" fontId="90" fillId="54" borderId="54" xfId="0" applyFont="1" applyFill="1" applyBorder="1" applyAlignment="1" applyProtection="1">
      <alignment horizontal="center" vertical="center"/>
      <protection locked="0"/>
    </xf>
    <xf numFmtId="0" fontId="90" fillId="54" borderId="123" xfId="0" applyFont="1" applyFill="1" applyBorder="1" applyAlignment="1" applyProtection="1">
      <alignment horizontal="center" vertical="center"/>
      <protection locked="0"/>
    </xf>
    <xf numFmtId="0" fontId="90" fillId="54" borderId="55" xfId="0" applyFont="1" applyFill="1" applyBorder="1" applyAlignment="1" applyProtection="1">
      <alignment horizontal="center" vertical="center"/>
      <protection locked="0"/>
    </xf>
    <xf numFmtId="0" fontId="1" fillId="52" borderId="161" xfId="0" applyFont="1" applyFill="1" applyBorder="1" applyAlignment="1">
      <alignment horizontal="center" wrapText="1"/>
    </xf>
    <xf numFmtId="0" fontId="2" fillId="30" borderId="15" xfId="0" applyFont="1" applyFill="1" applyBorder="1"/>
    <xf numFmtId="0" fontId="2" fillId="20" borderId="142" xfId="0" applyFont="1" applyFill="1" applyBorder="1" applyAlignment="1">
      <alignment horizontal="left" wrapText="1"/>
    </xf>
    <xf numFmtId="0" fontId="25" fillId="0" borderId="109" xfId="0" applyFont="1" applyBorder="1" applyAlignment="1">
      <alignment horizontal="center"/>
    </xf>
    <xf numFmtId="0" fontId="25" fillId="0" borderId="101" xfId="0" applyFont="1" applyBorder="1" applyAlignment="1">
      <alignment horizontal="center"/>
    </xf>
    <xf numFmtId="0" fontId="10" fillId="18" borderId="116" xfId="0" applyFont="1" applyFill="1" applyBorder="1" applyAlignment="1">
      <alignment horizontal="center"/>
    </xf>
    <xf numFmtId="0" fontId="10" fillId="18" borderId="180" xfId="0" applyFont="1" applyFill="1" applyBorder="1" applyAlignment="1">
      <alignment horizontal="center"/>
    </xf>
    <xf numFmtId="0" fontId="10" fillId="18" borderId="179" xfId="0" applyFont="1" applyFill="1" applyBorder="1" applyAlignment="1">
      <alignment horizontal="center"/>
    </xf>
    <xf numFmtId="0" fontId="10" fillId="18" borderId="66" xfId="0" applyFont="1" applyFill="1" applyBorder="1" applyAlignment="1">
      <alignment horizontal="center"/>
    </xf>
    <xf numFmtId="0" fontId="2" fillId="55" borderId="104" xfId="0" applyFont="1" applyFill="1" applyBorder="1" applyAlignment="1">
      <alignment horizontal="center" textRotation="90" wrapText="1"/>
    </xf>
    <xf numFmtId="0" fontId="2" fillId="55" borderId="59" xfId="0" applyFont="1" applyFill="1" applyBorder="1" applyAlignment="1">
      <alignment horizontal="center" textRotation="90" wrapText="1"/>
    </xf>
    <xf numFmtId="0" fontId="2" fillId="55" borderId="105" xfId="0" applyFont="1" applyFill="1" applyBorder="1" applyAlignment="1">
      <alignment horizontal="center" textRotation="90" wrapText="1"/>
    </xf>
    <xf numFmtId="0" fontId="14" fillId="55" borderId="50" xfId="7" applyFont="1" applyFill="1" applyBorder="1" applyAlignment="1">
      <alignment vertical="top"/>
    </xf>
    <xf numFmtId="0" fontId="16" fillId="55" borderId="50" xfId="7" applyFill="1" applyBorder="1" applyAlignment="1">
      <alignment vertical="top"/>
    </xf>
    <xf numFmtId="0" fontId="16" fillId="55" borderId="51" xfId="7" applyFill="1" applyBorder="1" applyAlignment="1">
      <alignment vertical="top"/>
    </xf>
    <xf numFmtId="0" fontId="4" fillId="0" borderId="164" xfId="0" applyFont="1" applyBorder="1" applyAlignment="1">
      <alignment horizontal="left"/>
    </xf>
    <xf numFmtId="43" fontId="0" fillId="0" borderId="166" xfId="1" applyFont="1" applyBorder="1" applyAlignment="1">
      <alignment horizontal="center"/>
    </xf>
    <xf numFmtId="165" fontId="0" fillId="0" borderId="166" xfId="1" applyNumberFormat="1" applyFont="1" applyBorder="1" applyAlignment="1">
      <alignment horizontal="center"/>
    </xf>
    <xf numFmtId="0" fontId="0" fillId="0" borderId="166" xfId="0" applyBorder="1" applyAlignment="1">
      <alignment horizontal="center"/>
    </xf>
    <xf numFmtId="0" fontId="0" fillId="0" borderId="166" xfId="0" applyBorder="1"/>
    <xf numFmtId="43" fontId="0" fillId="0" borderId="166" xfId="1" applyFont="1" applyBorder="1"/>
    <xf numFmtId="0" fontId="0" fillId="0" borderId="165" xfId="0" applyBorder="1" applyAlignment="1">
      <alignment horizontal="center"/>
    </xf>
    <xf numFmtId="0" fontId="1" fillId="0" borderId="104" xfId="0" applyFont="1" applyBorder="1" applyAlignment="1">
      <alignment horizontal="center" wrapText="1"/>
    </xf>
    <xf numFmtId="167" fontId="1" fillId="0" borderId="105" xfId="0" applyNumberFormat="1" applyFont="1" applyBorder="1" applyAlignment="1">
      <alignment horizontal="center" wrapText="1"/>
    </xf>
    <xf numFmtId="167" fontId="0" fillId="0" borderId="168" xfId="1" applyNumberFormat="1" applyFont="1" applyBorder="1" applyAlignment="1">
      <alignment horizontal="center"/>
    </xf>
    <xf numFmtId="167" fontId="0" fillId="0" borderId="56" xfId="1" applyNumberFormat="1" applyFont="1" applyBorder="1" applyAlignment="1">
      <alignment horizontal="center"/>
    </xf>
    <xf numFmtId="167" fontId="0" fillId="0" borderId="57" xfId="1" applyNumberFormat="1" applyFont="1" applyBorder="1" applyAlignment="1">
      <alignment horizontal="center"/>
    </xf>
    <xf numFmtId="0" fontId="12" fillId="0" borderId="184" xfId="0" applyFont="1" applyBorder="1" applyAlignment="1">
      <alignment horizontal="center" vertical="top"/>
    </xf>
    <xf numFmtId="0" fontId="86" fillId="0" borderId="185" xfId="0" applyFont="1" applyBorder="1" applyAlignment="1">
      <alignment horizontal="left" vertical="top" wrapText="1"/>
    </xf>
    <xf numFmtId="0" fontId="86" fillId="0" borderId="186" xfId="0" applyFont="1" applyBorder="1" applyAlignment="1">
      <alignment horizontal="left" vertical="top" wrapText="1"/>
    </xf>
    <xf numFmtId="0" fontId="91" fillId="0" borderId="186" xfId="0" applyFont="1" applyBorder="1" applyAlignment="1">
      <alignment horizontal="left" vertical="top" wrapText="1"/>
    </xf>
    <xf numFmtId="0" fontId="12" fillId="0" borderId="187" xfId="0" applyFont="1" applyBorder="1" applyAlignment="1">
      <alignment horizontal="center" vertical="top"/>
    </xf>
    <xf numFmtId="0" fontId="86" fillId="0" borderId="188" xfId="0" applyFont="1" applyBorder="1" applyAlignment="1">
      <alignment horizontal="left" vertical="top" wrapText="1"/>
    </xf>
    <xf numFmtId="0" fontId="12" fillId="0" borderId="190" xfId="0" applyFont="1" applyBorder="1" applyAlignment="1">
      <alignment horizontal="center" vertical="top"/>
    </xf>
    <xf numFmtId="0" fontId="86" fillId="0" borderId="191" xfId="0" applyFont="1" applyBorder="1" applyAlignment="1">
      <alignment horizontal="left" vertical="top" wrapText="1"/>
    </xf>
    <xf numFmtId="0" fontId="86" fillId="0" borderId="192" xfId="0" applyFont="1" applyBorder="1" applyAlignment="1">
      <alignment horizontal="left" vertical="top" wrapText="1"/>
    </xf>
    <xf numFmtId="0" fontId="11" fillId="39" borderId="193" xfId="0" applyFont="1" applyFill="1" applyBorder="1" applyAlignment="1">
      <alignment horizontal="center" vertical="top"/>
    </xf>
    <xf numFmtId="0" fontId="11" fillId="39" borderId="194" xfId="0" applyFont="1" applyFill="1" applyBorder="1" applyAlignment="1">
      <alignment horizontal="left" vertical="top"/>
    </xf>
    <xf numFmtId="0" fontId="11" fillId="39" borderId="195" xfId="0" applyFont="1" applyFill="1" applyBorder="1" applyAlignment="1">
      <alignment horizontal="left" vertical="top"/>
    </xf>
    <xf numFmtId="0" fontId="11" fillId="39" borderId="144" xfId="0" applyFont="1" applyFill="1" applyBorder="1" applyAlignment="1">
      <alignment horizontal="left" vertical="top"/>
    </xf>
    <xf numFmtId="0" fontId="86" fillId="0" borderId="198" xfId="0" applyFont="1" applyBorder="1" applyAlignment="1">
      <alignment horizontal="left" vertical="top" wrapText="1"/>
    </xf>
    <xf numFmtId="0" fontId="86" fillId="0" borderId="199" xfId="0" applyFont="1" applyBorder="1" applyAlignment="1">
      <alignment horizontal="left" vertical="top" wrapText="1"/>
    </xf>
    <xf numFmtId="0" fontId="90" fillId="0" borderId="185" xfId="0" applyFont="1" applyBorder="1" applyAlignment="1">
      <alignment horizontal="left" vertical="top" wrapText="1"/>
    </xf>
    <xf numFmtId="0" fontId="106" fillId="0" borderId="186" xfId="0" applyFont="1" applyBorder="1" applyAlignment="1">
      <alignment horizontal="left" vertical="top" wrapText="1"/>
    </xf>
    <xf numFmtId="0" fontId="91" fillId="0" borderId="199" xfId="0" applyFont="1" applyBorder="1" applyAlignment="1">
      <alignment horizontal="left" vertical="top" wrapText="1"/>
    </xf>
    <xf numFmtId="0" fontId="91" fillId="0" borderId="200" xfId="0" applyFont="1" applyBorder="1" applyAlignment="1">
      <alignment horizontal="left" vertical="top" wrapText="1"/>
    </xf>
    <xf numFmtId="0" fontId="101" fillId="0" borderId="64" xfId="7" applyFont="1" applyBorder="1" applyAlignment="1">
      <alignment horizontal="center" vertical="top" wrapText="1"/>
    </xf>
    <xf numFmtId="0" fontId="103" fillId="0" borderId="50" xfId="0" applyFont="1" applyBorder="1" applyAlignment="1">
      <alignment horizontal="center" vertical="top"/>
    </xf>
    <xf numFmtId="0" fontId="103" fillId="0" borderId="54" xfId="7" applyFont="1" applyBorder="1" applyAlignment="1">
      <alignment horizontal="center" vertical="top" wrapText="1"/>
    </xf>
    <xf numFmtId="0" fontId="103" fillId="0" borderId="54" xfId="0" applyFont="1" applyBorder="1" applyAlignment="1">
      <alignment horizontal="center" vertical="top"/>
    </xf>
    <xf numFmtId="0" fontId="103" fillId="0" borderId="64" xfId="0" applyFont="1" applyBorder="1" applyAlignment="1">
      <alignment horizontal="center" vertical="top"/>
    </xf>
    <xf numFmtId="0" fontId="103" fillId="0" borderId="56" xfId="0" applyFont="1" applyBorder="1" applyAlignment="1">
      <alignment horizontal="center" vertical="top"/>
    </xf>
    <xf numFmtId="0" fontId="102" fillId="0" borderId="64" xfId="7" applyFont="1" applyBorder="1" applyAlignment="1">
      <alignment horizontal="center" vertical="top" wrapText="1"/>
    </xf>
    <xf numFmtId="0" fontId="101" fillId="0" borderId="65" xfId="7" applyFont="1" applyBorder="1" applyAlignment="1">
      <alignment horizontal="center" vertical="top" wrapText="1"/>
    </xf>
    <xf numFmtId="0" fontId="103" fillId="0" borderId="51" xfId="0" applyFont="1" applyBorder="1" applyAlignment="1">
      <alignment horizontal="center" vertical="top"/>
    </xf>
    <xf numFmtId="0" fontId="103" fillId="0" borderId="55" xfId="0" applyFont="1" applyBorder="1" applyAlignment="1">
      <alignment horizontal="center" vertical="top"/>
    </xf>
    <xf numFmtId="0" fontId="103" fillId="0" borderId="65" xfId="0" applyFont="1" applyBorder="1" applyAlignment="1">
      <alignment horizontal="center" vertical="top"/>
    </xf>
    <xf numFmtId="0" fontId="103" fillId="0" borderId="57" xfId="0" applyFont="1" applyBorder="1" applyAlignment="1">
      <alignment horizontal="center" vertical="top"/>
    </xf>
    <xf numFmtId="0" fontId="14" fillId="55" borderId="102" xfId="7" applyFont="1" applyFill="1" applyBorder="1" applyAlignment="1">
      <alignment vertical="top"/>
    </xf>
    <xf numFmtId="0" fontId="101" fillId="0" borderId="178" xfId="7" applyFont="1" applyBorder="1" applyAlignment="1">
      <alignment horizontal="center" vertical="top" wrapText="1"/>
    </xf>
    <xf numFmtId="0" fontId="103" fillId="0" borderId="102" xfId="0" applyFont="1" applyBorder="1" applyAlignment="1">
      <alignment horizontal="center" vertical="top"/>
    </xf>
    <xf numFmtId="0" fontId="103" fillId="0" borderId="115" xfId="0" applyFont="1" applyBorder="1" applyAlignment="1">
      <alignment horizontal="center" vertical="top"/>
    </xf>
    <xf numFmtId="0" fontId="103" fillId="0" borderId="178" xfId="0" applyFont="1" applyBorder="1" applyAlignment="1">
      <alignment horizontal="center" vertical="top"/>
    </xf>
    <xf numFmtId="0" fontId="103" fillId="0" borderId="168" xfId="0" applyFont="1" applyBorder="1" applyAlignment="1">
      <alignment horizontal="center" vertical="top"/>
    </xf>
    <xf numFmtId="0" fontId="18" fillId="55" borderId="32" xfId="14" applyFont="1" applyFill="1" applyBorder="1" applyAlignment="1">
      <alignment vertical="top"/>
    </xf>
    <xf numFmtId="0" fontId="81" fillId="0" borderId="0" xfId="0" applyFont="1" applyAlignment="1">
      <alignment vertical="top"/>
    </xf>
    <xf numFmtId="0" fontId="33" fillId="55" borderId="32" xfId="14" applyFont="1" applyFill="1" applyBorder="1" applyAlignment="1">
      <alignment vertical="top"/>
    </xf>
    <xf numFmtId="0" fontId="103" fillId="21" borderId="115" xfId="0" applyFont="1" applyFill="1" applyBorder="1" applyAlignment="1">
      <alignment horizontal="center" vertical="top"/>
    </xf>
    <xf numFmtId="0" fontId="103" fillId="21" borderId="54" xfId="0" applyFont="1" applyFill="1" applyBorder="1" applyAlignment="1">
      <alignment horizontal="center" vertical="top"/>
    </xf>
    <xf numFmtId="0" fontId="103" fillId="21" borderId="55" xfId="0" applyFont="1" applyFill="1" applyBorder="1" applyAlignment="1">
      <alignment horizontal="center" vertical="top"/>
    </xf>
    <xf numFmtId="0" fontId="1" fillId="56" borderId="115" xfId="0" applyFont="1" applyFill="1" applyBorder="1" applyAlignment="1">
      <alignment horizontal="center"/>
    </xf>
    <xf numFmtId="0" fontId="1" fillId="56" borderId="55" xfId="0" applyFont="1" applyFill="1" applyBorder="1" applyAlignment="1">
      <alignment horizontal="center" wrapText="1"/>
    </xf>
    <xf numFmtId="0" fontId="1" fillId="32" borderId="162" xfId="0" applyFont="1" applyFill="1" applyBorder="1" applyAlignment="1">
      <alignment horizontal="center" wrapText="1"/>
    </xf>
    <xf numFmtId="0" fontId="90" fillId="25" borderId="52" xfId="0" applyFont="1" applyFill="1" applyBorder="1" applyAlignment="1" applyProtection="1">
      <alignment horizontal="center" vertical="center"/>
      <protection locked="0"/>
    </xf>
    <xf numFmtId="0" fontId="90" fillId="25" borderId="50" xfId="0" applyFont="1" applyFill="1" applyBorder="1" applyAlignment="1" applyProtection="1">
      <alignment horizontal="center" vertical="center"/>
      <protection locked="0"/>
    </xf>
    <xf numFmtId="0" fontId="90" fillId="25" borderId="122" xfId="0" applyFont="1" applyFill="1" applyBorder="1" applyAlignment="1" applyProtection="1">
      <alignment horizontal="center" vertical="center"/>
      <protection locked="0"/>
    </xf>
    <xf numFmtId="0" fontId="90" fillId="25" borderId="51" xfId="0" applyFont="1" applyFill="1" applyBorder="1" applyAlignment="1" applyProtection="1">
      <alignment horizontal="center" vertical="center"/>
      <protection locked="0"/>
    </xf>
    <xf numFmtId="0" fontId="90" fillId="25" borderId="127" xfId="0" applyFont="1" applyFill="1" applyBorder="1" applyAlignment="1" applyProtection="1">
      <alignment horizontal="center" vertical="center"/>
      <protection locked="0"/>
    </xf>
    <xf numFmtId="0" fontId="90" fillId="25" borderId="53" xfId="0" applyFont="1" applyFill="1" applyBorder="1" applyAlignment="1" applyProtection="1">
      <alignment horizontal="center" vertical="center"/>
      <protection locked="0"/>
    </xf>
    <xf numFmtId="0" fontId="90" fillId="25" borderId="128" xfId="0" applyFont="1" applyFill="1" applyBorder="1" applyAlignment="1" applyProtection="1">
      <alignment horizontal="center" vertical="center"/>
      <protection locked="0"/>
    </xf>
    <xf numFmtId="0" fontId="90" fillId="25" borderId="54" xfId="0" applyFont="1" applyFill="1" applyBorder="1" applyAlignment="1" applyProtection="1">
      <alignment horizontal="center" vertical="center"/>
      <protection locked="0"/>
    </xf>
    <xf numFmtId="0" fontId="90" fillId="25" borderId="202" xfId="0" applyFont="1" applyFill="1" applyBorder="1" applyAlignment="1" applyProtection="1">
      <alignment horizontal="center" vertical="center"/>
      <protection locked="0"/>
    </xf>
    <xf numFmtId="0" fontId="90" fillId="25" borderId="123" xfId="0" applyFont="1" applyFill="1" applyBorder="1" applyAlignment="1" applyProtection="1">
      <alignment horizontal="center" vertical="center"/>
      <protection locked="0"/>
    </xf>
    <xf numFmtId="0" fontId="90" fillId="25" borderId="129" xfId="0" applyFont="1" applyFill="1" applyBorder="1" applyAlignment="1" applyProtection="1">
      <alignment horizontal="center" vertical="center"/>
      <protection locked="0"/>
    </xf>
    <xf numFmtId="0" fontId="90" fillId="25" borderId="55" xfId="0" applyFont="1" applyFill="1" applyBorder="1" applyAlignment="1" applyProtection="1">
      <alignment horizontal="center" vertical="center"/>
      <protection locked="0"/>
    </xf>
    <xf numFmtId="0" fontId="1" fillId="32" borderId="201" xfId="0" applyFont="1" applyFill="1" applyBorder="1" applyAlignment="1">
      <alignment horizontal="center" wrapText="1"/>
    </xf>
    <xf numFmtId="0" fontId="1" fillId="32" borderId="161" xfId="0" applyFont="1" applyFill="1" applyBorder="1" applyAlignment="1">
      <alignment horizontal="center" wrapText="1"/>
    </xf>
    <xf numFmtId="0" fontId="1" fillId="50" borderId="161" xfId="0" applyFont="1" applyFill="1" applyBorder="1" applyAlignment="1">
      <alignment horizontal="center" wrapText="1"/>
    </xf>
    <xf numFmtId="0" fontId="18" fillId="49" borderId="56" xfId="10" applyFont="1" applyFill="1" applyBorder="1" applyAlignment="1">
      <alignment horizontal="center" wrapText="1"/>
    </xf>
    <xf numFmtId="0" fontId="18" fillId="49" borderId="124" xfId="10" applyFont="1" applyFill="1" applyBorder="1" applyAlignment="1">
      <alignment horizontal="center" wrapText="1"/>
    </xf>
    <xf numFmtId="0" fontId="18" fillId="49" borderId="57" xfId="10" applyFont="1" applyFill="1" applyBorder="1" applyAlignment="1">
      <alignment horizontal="center" wrapText="1"/>
    </xf>
    <xf numFmtId="0" fontId="90" fillId="49" borderId="54" xfId="0" applyFont="1" applyFill="1" applyBorder="1" applyAlignment="1" applyProtection="1">
      <alignment horizontal="center" vertical="center"/>
      <protection locked="0"/>
    </xf>
    <xf numFmtId="0" fontId="90" fillId="49" borderId="123" xfId="0" applyFont="1" applyFill="1" applyBorder="1" applyAlignment="1" applyProtection="1">
      <alignment horizontal="center" vertical="center"/>
      <protection locked="0"/>
    </xf>
    <xf numFmtId="0" fontId="90" fillId="49" borderId="55" xfId="0" applyFont="1" applyFill="1" applyBorder="1" applyAlignment="1" applyProtection="1">
      <alignment horizontal="center" vertical="center"/>
      <protection locked="0"/>
    </xf>
    <xf numFmtId="0" fontId="37" fillId="45" borderId="164" xfId="0" applyFont="1" applyFill="1" applyBorder="1" applyAlignment="1">
      <alignment horizontal="center"/>
    </xf>
    <xf numFmtId="0" fontId="37" fillId="45" borderId="166" xfId="0" applyFont="1" applyFill="1" applyBorder="1" applyAlignment="1">
      <alignment horizontal="center"/>
    </xf>
    <xf numFmtId="0" fontId="37" fillId="45" borderId="165" xfId="0" applyFont="1" applyFill="1" applyBorder="1" applyAlignment="1">
      <alignment horizontal="center"/>
    </xf>
    <xf numFmtId="167" fontId="1" fillId="0" borderId="80" xfId="0" applyNumberFormat="1" applyFont="1" applyBorder="1" applyAlignment="1">
      <alignment horizontal="center" wrapText="1"/>
    </xf>
    <xf numFmtId="167" fontId="0" fillId="0" borderId="140" xfId="1" applyNumberFormat="1" applyFont="1" applyBorder="1" applyAlignment="1">
      <alignment horizontal="center"/>
    </xf>
    <xf numFmtId="167" fontId="0" fillId="0" borderId="128" xfId="1" applyNumberFormat="1" applyFont="1" applyBorder="1" applyAlignment="1">
      <alignment horizontal="center"/>
    </xf>
    <xf numFmtId="167" fontId="0" fillId="0" borderId="129" xfId="1" applyNumberFormat="1" applyFont="1" applyBorder="1" applyAlignment="1">
      <alignment horizontal="center"/>
    </xf>
    <xf numFmtId="0" fontId="1" fillId="9" borderId="104" xfId="0" applyFont="1" applyFill="1" applyBorder="1" applyAlignment="1">
      <alignment horizontal="center" wrapText="1"/>
    </xf>
    <xf numFmtId="43" fontId="1" fillId="2" borderId="105" xfId="1" applyFont="1" applyFill="1" applyBorder="1" applyAlignment="1">
      <alignment horizontal="center" wrapText="1"/>
    </xf>
    <xf numFmtId="43" fontId="0" fillId="9" borderId="52" xfId="1" applyFont="1" applyFill="1" applyBorder="1" applyAlignment="1">
      <alignment horizontal="center"/>
    </xf>
    <xf numFmtId="43" fontId="0" fillId="2" borderId="61" xfId="1" applyFont="1" applyFill="1" applyBorder="1" applyAlignment="1">
      <alignment horizontal="center"/>
    </xf>
    <xf numFmtId="43" fontId="0" fillId="9" borderId="50" xfId="1" applyFont="1" applyFill="1" applyBorder="1" applyAlignment="1">
      <alignment horizontal="center"/>
    </xf>
    <xf numFmtId="43" fontId="0" fillId="2" borderId="56" xfId="1" applyFont="1" applyFill="1" applyBorder="1" applyAlignment="1">
      <alignment horizontal="center"/>
    </xf>
    <xf numFmtId="43" fontId="0" fillId="9" borderId="51" xfId="1" applyFont="1" applyFill="1" applyBorder="1" applyAlignment="1">
      <alignment horizontal="center"/>
    </xf>
    <xf numFmtId="43" fontId="0" fillId="2" borderId="57" xfId="1" applyFont="1" applyFill="1" applyBorder="1" applyAlignment="1">
      <alignment horizontal="center"/>
    </xf>
    <xf numFmtId="0" fontId="1" fillId="0" borderId="164" xfId="0" applyFont="1" applyBorder="1" applyAlignment="1">
      <alignment horizontal="center" wrapText="1"/>
    </xf>
    <xf numFmtId="0" fontId="1" fillId="0" borderId="11" xfId="0" applyFont="1" applyBorder="1" applyAlignment="1">
      <alignment horizontal="center" wrapText="1"/>
    </xf>
    <xf numFmtId="0" fontId="88" fillId="28" borderId="128" xfId="0" applyFont="1" applyFill="1" applyBorder="1" applyAlignment="1">
      <alignment horizontal="center"/>
    </xf>
    <xf numFmtId="0" fontId="88" fillId="28" borderId="129" xfId="0" applyFont="1" applyFill="1" applyBorder="1" applyAlignment="1">
      <alignment horizontal="center"/>
    </xf>
    <xf numFmtId="0" fontId="107" fillId="10" borderId="0" xfId="0" applyFont="1" applyFill="1" applyAlignment="1">
      <alignment horizontal="center"/>
    </xf>
    <xf numFmtId="0" fontId="88" fillId="28" borderId="127" xfId="0" applyFont="1" applyFill="1" applyBorder="1" applyAlignment="1">
      <alignment horizontal="center"/>
    </xf>
    <xf numFmtId="0" fontId="107" fillId="32" borderId="0" xfId="0" applyFont="1" applyFill="1" applyAlignment="1">
      <alignment horizontal="center"/>
    </xf>
    <xf numFmtId="0" fontId="1" fillId="32" borderId="115" xfId="0" applyFont="1" applyFill="1" applyBorder="1" applyAlignment="1">
      <alignment horizontal="center"/>
    </xf>
    <xf numFmtId="0" fontId="105" fillId="25" borderId="55" xfId="0" applyFont="1" applyFill="1" applyBorder="1" applyAlignment="1">
      <alignment horizontal="center" vertical="center"/>
    </xf>
    <xf numFmtId="0" fontId="86" fillId="0" borderId="53" xfId="0" applyFont="1" applyBorder="1" applyAlignment="1">
      <alignment horizontal="center" vertical="center"/>
    </xf>
    <xf numFmtId="0" fontId="86" fillId="0" borderId="54" xfId="0" applyFont="1" applyBorder="1" applyAlignment="1">
      <alignment horizontal="center" vertical="center"/>
    </xf>
    <xf numFmtId="0" fontId="86" fillId="0" borderId="64" xfId="0" applyFont="1" applyBorder="1" applyAlignment="1">
      <alignment horizontal="center" vertical="center"/>
    </xf>
    <xf numFmtId="0" fontId="86" fillId="0" borderId="127" xfId="0" applyFont="1" applyBorder="1" applyAlignment="1">
      <alignment horizontal="center" vertical="center"/>
    </xf>
    <xf numFmtId="0" fontId="86" fillId="0" borderId="128" xfId="0" applyFont="1" applyBorder="1" applyAlignment="1">
      <alignment horizontal="center" vertical="center"/>
    </xf>
    <xf numFmtId="0" fontId="91" fillId="0" borderId="53" xfId="0" applyFont="1" applyBorder="1" applyAlignment="1">
      <alignment horizontal="center" vertical="center"/>
    </xf>
    <xf numFmtId="0" fontId="91" fillId="0" borderId="54" xfId="0" applyFont="1" applyBorder="1" applyAlignment="1">
      <alignment horizontal="center" vertical="center"/>
    </xf>
    <xf numFmtId="0" fontId="91" fillId="0" borderId="55" xfId="0" applyFont="1" applyBorder="1" applyAlignment="1">
      <alignment horizontal="center" vertical="center"/>
    </xf>
    <xf numFmtId="0" fontId="91" fillId="0" borderId="63" xfId="0" applyFont="1" applyBorder="1" applyAlignment="1">
      <alignment horizontal="center" vertical="center"/>
    </xf>
    <xf numFmtId="0" fontId="91" fillId="0" borderId="64" xfId="0" applyFont="1" applyBorder="1" applyAlignment="1">
      <alignment horizontal="center" vertical="center"/>
    </xf>
    <xf numFmtId="0" fontId="91" fillId="0" borderId="65" xfId="0" applyFont="1" applyBorder="1" applyAlignment="1">
      <alignment horizontal="center" vertical="center"/>
    </xf>
    <xf numFmtId="0" fontId="91" fillId="0" borderId="128" xfId="0" applyFont="1" applyBorder="1" applyAlignment="1">
      <alignment horizontal="center" vertical="center"/>
    </xf>
    <xf numFmtId="0" fontId="91" fillId="0" borderId="129" xfId="0" applyFont="1" applyBorder="1" applyAlignment="1">
      <alignment horizontal="center" vertical="center"/>
    </xf>
    <xf numFmtId="0" fontId="91" fillId="0" borderId="61" xfId="0" applyFont="1" applyBorder="1" applyAlignment="1">
      <alignment horizontal="center" vertical="center"/>
    </xf>
    <xf numFmtId="0" fontId="91" fillId="0" borderId="56" xfId="0" applyFont="1" applyBorder="1" applyAlignment="1">
      <alignment horizontal="center" vertical="center"/>
    </xf>
    <xf numFmtId="0" fontId="91" fillId="0" borderId="57" xfId="0" applyFont="1" applyBorder="1" applyAlignment="1">
      <alignment horizontal="center" vertical="center"/>
    </xf>
    <xf numFmtId="0" fontId="105" fillId="25" borderId="53" xfId="0" applyFont="1" applyFill="1" applyBorder="1" applyAlignment="1">
      <alignment horizontal="center" vertical="center"/>
    </xf>
    <xf numFmtId="0" fontId="105" fillId="32" borderId="53" xfId="0" applyFont="1" applyFill="1" applyBorder="1" applyAlignment="1">
      <alignment horizontal="center" vertical="center"/>
    </xf>
    <xf numFmtId="0" fontId="105" fillId="25" borderId="54" xfId="0" applyFont="1" applyFill="1" applyBorder="1" applyAlignment="1">
      <alignment horizontal="center" vertical="center"/>
    </xf>
    <xf numFmtId="0" fontId="105" fillId="32" borderId="54" xfId="0" applyFont="1" applyFill="1" applyBorder="1" applyAlignment="1">
      <alignment horizontal="center" vertical="center"/>
    </xf>
    <xf numFmtId="0" fontId="105" fillId="32" borderId="55" xfId="0" applyFont="1" applyFill="1" applyBorder="1" applyAlignment="1">
      <alignment horizontal="center" vertical="center"/>
    </xf>
    <xf numFmtId="171" fontId="0" fillId="0" borderId="0" xfId="0" applyNumberFormat="1" applyAlignment="1">
      <alignment horizontal="center"/>
    </xf>
    <xf numFmtId="0" fontId="27" fillId="20" borderId="9" xfId="0" applyFont="1" applyFill="1" applyBorder="1" applyAlignment="1">
      <alignment horizontal="right"/>
    </xf>
    <xf numFmtId="0" fontId="27" fillId="20" borderId="23" xfId="0" applyFont="1" applyFill="1" applyBorder="1"/>
    <xf numFmtId="0" fontId="29" fillId="20" borderId="23" xfId="0" applyFont="1" applyFill="1" applyBorder="1" applyAlignment="1">
      <alignment horizontal="center"/>
    </xf>
    <xf numFmtId="0" fontId="83" fillId="20" borderId="46" xfId="0" applyFont="1" applyFill="1" applyBorder="1" applyAlignment="1">
      <alignment horizontal="center"/>
    </xf>
    <xf numFmtId="0" fontId="83" fillId="20" borderId="68" xfId="0" applyFont="1" applyFill="1" applyBorder="1" applyAlignment="1">
      <alignment horizontal="center"/>
    </xf>
    <xf numFmtId="0" fontId="44" fillId="20" borderId="11" xfId="0" applyFont="1" applyFill="1" applyBorder="1"/>
    <xf numFmtId="0" fontId="44" fillId="20" borderId="27" xfId="0" applyFont="1" applyFill="1" applyBorder="1"/>
    <xf numFmtId="0" fontId="45" fillId="20" borderId="27" xfId="0" applyFont="1" applyFill="1" applyBorder="1" applyAlignment="1">
      <alignment horizontal="center"/>
    </xf>
    <xf numFmtId="0" fontId="44" fillId="20" borderId="75" xfId="0" applyFont="1" applyFill="1" applyBorder="1" applyAlignment="1">
      <alignment horizontal="center"/>
    </xf>
    <xf numFmtId="0" fontId="44" fillId="20" borderId="76" xfId="0" applyFont="1" applyFill="1" applyBorder="1" applyAlignment="1">
      <alignment horizontal="center"/>
    </xf>
    <xf numFmtId="0" fontId="29" fillId="0" borderId="42" xfId="0" applyFont="1" applyBorder="1"/>
    <xf numFmtId="166" fontId="29" fillId="19" borderId="43" xfId="0" applyNumberFormat="1" applyFont="1" applyFill="1" applyBorder="1" applyAlignment="1">
      <alignment horizontal="center"/>
    </xf>
    <xf numFmtId="1" fontId="29" fillId="19" borderId="43" xfId="0" applyNumberFormat="1" applyFont="1" applyFill="1" applyBorder="1" applyAlignment="1">
      <alignment horizontal="center"/>
    </xf>
    <xf numFmtId="0" fontId="27" fillId="0" borderId="43" xfId="0" applyFont="1" applyBorder="1" applyAlignment="1">
      <alignment horizontal="center"/>
    </xf>
    <xf numFmtId="0" fontId="27" fillId="0" borderId="44" xfId="0" applyFont="1" applyBorder="1" applyAlignment="1">
      <alignment horizontal="center"/>
    </xf>
    <xf numFmtId="164" fontId="27" fillId="20" borderId="45" xfId="1" applyNumberFormat="1" applyFont="1" applyFill="1" applyBorder="1" applyAlignment="1" applyProtection="1"/>
    <xf numFmtId="164" fontId="27" fillId="19" borderId="46" xfId="1" applyNumberFormat="1" applyFont="1" applyFill="1" applyBorder="1" applyAlignment="1" applyProtection="1"/>
    <xf numFmtId="164" fontId="27" fillId="20" borderId="114" xfId="1" applyNumberFormat="1" applyFont="1" applyFill="1" applyBorder="1" applyAlignment="1" applyProtection="1"/>
    <xf numFmtId="164" fontId="27" fillId="19" borderId="75" xfId="1" applyNumberFormat="1" applyFont="1" applyFill="1" applyBorder="1" applyAlignment="1" applyProtection="1">
      <alignment horizontal="center"/>
    </xf>
    <xf numFmtId="49" fontId="43" fillId="20" borderId="38" xfId="1" applyNumberFormat="1" applyFont="1" applyFill="1" applyBorder="1" applyAlignment="1" applyProtection="1">
      <alignment horizontal="center"/>
    </xf>
    <xf numFmtId="49" fontId="43" fillId="20" borderId="72" xfId="1" applyNumberFormat="1" applyFont="1" applyFill="1" applyBorder="1" applyAlignment="1" applyProtection="1">
      <alignment horizontal="center"/>
    </xf>
    <xf numFmtId="0" fontId="86" fillId="0" borderId="63" xfId="0" applyFont="1" applyBorder="1" applyAlignment="1">
      <alignment horizontal="center" vertical="center"/>
    </xf>
    <xf numFmtId="0" fontId="91" fillId="0" borderId="0" xfId="0" applyFont="1"/>
    <xf numFmtId="0" fontId="91" fillId="0" borderId="189" xfId="0" applyFont="1" applyBorder="1" applyAlignment="1">
      <alignment horizontal="left" vertical="top" wrapText="1"/>
    </xf>
    <xf numFmtId="0" fontId="54" fillId="0" borderId="0" xfId="0" applyFont="1" applyAlignment="1">
      <alignment horizontal="left"/>
    </xf>
    <xf numFmtId="0" fontId="79" fillId="36" borderId="0" xfId="0" applyFont="1" applyFill="1" applyAlignment="1">
      <alignment horizontal="center" vertical="center"/>
    </xf>
    <xf numFmtId="0" fontId="80" fillId="0" borderId="0" xfId="0" applyFont="1" applyAlignment="1">
      <alignment horizontal="center" vertical="center"/>
    </xf>
    <xf numFmtId="0" fontId="5" fillId="0" borderId="0" xfId="0" applyFont="1" applyAlignment="1">
      <alignment horizontal="center"/>
    </xf>
    <xf numFmtId="0" fontId="2" fillId="0" borderId="10" xfId="0" applyFont="1" applyBorder="1" applyAlignment="1">
      <alignment horizontal="left" vertical="top" wrapText="1"/>
    </xf>
    <xf numFmtId="0" fontId="2" fillId="0" borderId="0" xfId="0" applyFont="1" applyAlignment="1">
      <alignment horizontal="left" vertical="top" wrapText="1"/>
    </xf>
    <xf numFmtId="0" fontId="2" fillId="0" borderId="15" xfId="0" applyFont="1" applyBorder="1" applyAlignment="1">
      <alignment horizontal="left" vertical="top" wrapText="1"/>
    </xf>
    <xf numFmtId="0" fontId="2" fillId="0" borderId="95" xfId="0" applyFont="1" applyBorder="1" applyAlignment="1">
      <alignment horizontal="left" vertical="top" wrapText="1"/>
    </xf>
    <xf numFmtId="0" fontId="2" fillId="0" borderId="106" xfId="0" applyFont="1" applyBorder="1" applyAlignment="1">
      <alignment horizontal="left" vertical="top" wrapText="1"/>
    </xf>
    <xf numFmtId="0" fontId="2" fillId="0" borderId="99" xfId="0" applyFont="1" applyBorder="1" applyAlignment="1">
      <alignment horizontal="left" vertical="top" wrapText="1"/>
    </xf>
    <xf numFmtId="0" fontId="82" fillId="0" borderId="0" xfId="0" applyFont="1" applyAlignment="1">
      <alignment horizontal="center"/>
    </xf>
    <xf numFmtId="0" fontId="82" fillId="0" borderId="15" xfId="0" applyFont="1" applyBorder="1" applyAlignment="1">
      <alignment horizontal="center"/>
    </xf>
    <xf numFmtId="0" fontId="2" fillId="0" borderId="95" xfId="0" applyFont="1" applyBorder="1" applyAlignment="1">
      <alignment horizontal="center" vertical="top" wrapText="1"/>
    </xf>
    <xf numFmtId="0" fontId="2" fillId="0" borderId="106" xfId="0" applyFont="1" applyBorder="1" applyAlignment="1">
      <alignment horizontal="center" vertical="top" wrapText="1"/>
    </xf>
    <xf numFmtId="0" fontId="2" fillId="0" borderId="99" xfId="0" applyFont="1" applyBorder="1" applyAlignment="1">
      <alignment horizontal="center" vertical="top" wrapText="1"/>
    </xf>
    <xf numFmtId="0" fontId="2" fillId="0" borderId="10" xfId="0" applyFont="1" applyBorder="1" applyAlignment="1">
      <alignment horizontal="center" vertical="top" wrapText="1"/>
    </xf>
    <xf numFmtId="0" fontId="2" fillId="0" borderId="0" xfId="0" applyFont="1" applyAlignment="1">
      <alignment horizontal="center" vertical="top" wrapText="1"/>
    </xf>
    <xf numFmtId="0" fontId="2" fillId="0" borderId="15" xfId="0" applyFont="1" applyBorder="1" applyAlignment="1">
      <alignment horizontal="center" vertical="top" wrapText="1"/>
    </xf>
    <xf numFmtId="0" fontId="2" fillId="0" borderId="9" xfId="0" applyFont="1" applyBorder="1" applyAlignment="1">
      <alignment horizontal="left" vertical="top" wrapText="1"/>
    </xf>
    <xf numFmtId="0" fontId="2" fillId="0" borderId="23" xfId="0" applyFont="1" applyBorder="1" applyAlignment="1">
      <alignment horizontal="left" vertical="top" wrapText="1"/>
    </xf>
    <xf numFmtId="0" fontId="2" fillId="0" borderId="4" xfId="0" applyFont="1" applyBorder="1" applyAlignment="1">
      <alignment horizontal="left" vertical="top" wrapText="1"/>
    </xf>
    <xf numFmtId="0" fontId="1" fillId="0" borderId="10" xfId="0" applyFont="1" applyBorder="1" applyAlignment="1">
      <alignment horizontal="center"/>
    </xf>
    <xf numFmtId="0" fontId="7" fillId="0" borderId="0" xfId="0" applyFont="1" applyAlignment="1">
      <alignment horizontal="center"/>
    </xf>
    <xf numFmtId="0" fontId="7" fillId="0" borderId="15" xfId="0" applyFont="1" applyBorder="1" applyAlignment="1">
      <alignment horizontal="center"/>
    </xf>
    <xf numFmtId="0" fontId="3" fillId="0" borderId="11" xfId="0" applyFont="1" applyBorder="1" applyAlignment="1">
      <alignment horizontal="center"/>
    </xf>
    <xf numFmtId="0" fontId="3" fillId="0" borderId="27" xfId="0" applyFont="1" applyBorder="1" applyAlignment="1">
      <alignment horizontal="center"/>
    </xf>
    <xf numFmtId="0" fontId="3" fillId="0" borderId="16" xfId="0" applyFont="1" applyBorder="1" applyAlignment="1">
      <alignment horizontal="center"/>
    </xf>
    <xf numFmtId="0" fontId="97" fillId="0" borderId="10" xfId="0" applyFont="1" applyBorder="1" applyAlignment="1">
      <alignment horizontal="center"/>
    </xf>
    <xf numFmtId="0" fontId="97" fillId="0" borderId="15" xfId="0" applyFont="1" applyBorder="1" applyAlignment="1">
      <alignment horizontal="center"/>
    </xf>
    <xf numFmtId="0" fontId="60" fillId="20" borderId="69" xfId="0" applyFont="1" applyFill="1" applyBorder="1" applyAlignment="1">
      <alignment horizontal="center"/>
    </xf>
    <xf numFmtId="0" fontId="60" fillId="20" borderId="70" xfId="0" applyFont="1" applyFill="1" applyBorder="1" applyAlignment="1">
      <alignment horizontal="center"/>
    </xf>
    <xf numFmtId="0" fontId="60" fillId="20" borderId="71" xfId="0" applyFont="1" applyFill="1" applyBorder="1" applyAlignment="1">
      <alignment horizontal="center"/>
    </xf>
    <xf numFmtId="0" fontId="32" fillId="8" borderId="24" xfId="0" applyFont="1" applyFill="1" applyBorder="1" applyAlignment="1">
      <alignment horizontal="center" vertical="top"/>
    </xf>
    <xf numFmtId="0" fontId="32" fillId="8" borderId="25" xfId="0" applyFont="1" applyFill="1" applyBorder="1" applyAlignment="1">
      <alignment horizontal="center" vertical="top"/>
    </xf>
    <xf numFmtId="0" fontId="32" fillId="8" borderId="100" xfId="0" applyFont="1" applyFill="1" applyBorder="1" applyAlignment="1">
      <alignment horizontal="center" vertical="top"/>
    </xf>
    <xf numFmtId="0" fontId="32" fillId="8" borderId="26" xfId="0" applyFont="1" applyFill="1" applyBorder="1" applyAlignment="1">
      <alignment horizontal="center" vertical="top"/>
    </xf>
    <xf numFmtId="164" fontId="27" fillId="19" borderId="46" xfId="1" applyNumberFormat="1" applyFont="1" applyFill="1" applyBorder="1" applyAlignment="1" applyProtection="1">
      <alignment horizontal="center" wrapText="1"/>
    </xf>
    <xf numFmtId="164" fontId="27" fillId="19" borderId="75" xfId="1" applyNumberFormat="1" applyFont="1" applyFill="1" applyBorder="1" applyAlignment="1" applyProtection="1">
      <alignment horizontal="center" wrapText="1"/>
    </xf>
    <xf numFmtId="164" fontId="27" fillId="20" borderId="68" xfId="1" applyNumberFormat="1" applyFont="1" applyFill="1" applyBorder="1" applyAlignment="1" applyProtection="1">
      <alignment horizontal="center"/>
    </xf>
    <xf numFmtId="164" fontId="27" fillId="20" borderId="131" xfId="1" applyNumberFormat="1" applyFont="1" applyFill="1" applyBorder="1" applyAlignment="1" applyProtection="1">
      <alignment horizontal="center"/>
    </xf>
    <xf numFmtId="0" fontId="51" fillId="0" borderId="28" xfId="0" applyFont="1" applyBorder="1" applyAlignment="1">
      <alignment horizontal="center" vertical="center" textRotation="90"/>
    </xf>
    <xf numFmtId="0" fontId="51" fillId="0" borderId="29" xfId="0" applyFont="1" applyBorder="1" applyAlignment="1">
      <alignment horizontal="center" vertical="center" textRotation="90"/>
    </xf>
    <xf numFmtId="0" fontId="29" fillId="0" borderId="0" xfId="0" applyFont="1" applyAlignment="1">
      <alignment horizontal="left" vertical="center"/>
    </xf>
    <xf numFmtId="1" fontId="29" fillId="0" borderId="0" xfId="0" applyNumberFormat="1" applyFont="1" applyAlignment="1">
      <alignment horizontal="center" vertical="center"/>
    </xf>
    <xf numFmtId="1" fontId="29" fillId="0" borderId="0" xfId="0" applyNumberFormat="1" applyFont="1" applyAlignment="1">
      <alignment horizontal="left" vertical="center"/>
    </xf>
    <xf numFmtId="0" fontId="74" fillId="0" borderId="0" xfId="0" applyFont="1" applyAlignment="1" applyProtection="1">
      <alignment horizontal="center" wrapText="1"/>
      <protection hidden="1"/>
    </xf>
    <xf numFmtId="0" fontId="62" fillId="15" borderId="0" xfId="0" applyFont="1" applyFill="1" applyAlignment="1">
      <alignment horizontal="center"/>
    </xf>
    <xf numFmtId="0" fontId="27" fillId="0" borderId="84" xfId="0" applyFont="1" applyBorder="1" applyAlignment="1">
      <alignment horizontal="left" vertical="center"/>
    </xf>
    <xf numFmtId="0" fontId="27" fillId="0" borderId="0" xfId="0" applyFont="1" applyAlignment="1">
      <alignment horizontal="left" vertical="center"/>
    </xf>
    <xf numFmtId="0" fontId="27" fillId="0" borderId="86" xfId="0" applyFont="1" applyBorder="1" applyAlignment="1">
      <alignment horizontal="left" vertical="center"/>
    </xf>
    <xf numFmtId="0" fontId="27" fillId="0" borderId="87" xfId="0" applyFont="1" applyBorder="1" applyAlignment="1">
      <alignment horizontal="left" vertical="center"/>
    </xf>
    <xf numFmtId="0" fontId="27" fillId="0" borderId="81" xfId="0" applyFont="1" applyBorder="1" applyAlignment="1">
      <alignment horizontal="left" vertical="center"/>
    </xf>
    <xf numFmtId="0" fontId="27" fillId="0" borderId="82" xfId="0" applyFont="1" applyBorder="1" applyAlignment="1">
      <alignment horizontal="left" vertical="center"/>
    </xf>
    <xf numFmtId="0" fontId="27" fillId="0" borderId="84" xfId="0" applyFont="1" applyBorder="1" applyAlignment="1">
      <alignment horizontal="left" vertical="top"/>
    </xf>
    <xf numFmtId="0" fontId="27" fillId="0" borderId="0" xfId="0" applyFont="1" applyAlignment="1">
      <alignment horizontal="left" vertical="top"/>
    </xf>
    <xf numFmtId="0" fontId="27" fillId="0" borderId="86" xfId="0" applyFont="1" applyBorder="1" applyAlignment="1">
      <alignment horizontal="left" vertical="top"/>
    </xf>
    <xf numFmtId="0" fontId="27" fillId="0" borderId="87" xfId="0" applyFont="1" applyBorder="1" applyAlignment="1">
      <alignment horizontal="left" vertical="top"/>
    </xf>
    <xf numFmtId="0" fontId="31" fillId="19" borderId="0" xfId="0" applyFont="1" applyFill="1" applyAlignment="1">
      <alignment horizontal="left" wrapText="1"/>
    </xf>
    <xf numFmtId="0" fontId="68" fillId="0" borderId="10" xfId="0" applyFont="1" applyBorder="1" applyAlignment="1">
      <alignment horizontal="left" vertical="center" wrapText="1" indent="3"/>
    </xf>
    <xf numFmtId="0" fontId="63" fillId="0" borderId="0" xfId="0" applyFont="1" applyAlignment="1">
      <alignment horizontal="left" vertical="center" wrapText="1" indent="3"/>
    </xf>
    <xf numFmtId="0" fontId="69" fillId="35" borderId="81" xfId="0" applyFont="1" applyFill="1" applyBorder="1" applyAlignment="1">
      <alignment horizontal="center" vertical="center" wrapText="1"/>
    </xf>
    <xf numFmtId="0" fontId="69" fillId="35" borderId="82" xfId="0" applyFont="1" applyFill="1" applyBorder="1" applyAlignment="1">
      <alignment horizontal="center" vertical="center" wrapText="1"/>
    </xf>
    <xf numFmtId="0" fontId="69" fillId="35" borderId="83" xfId="0" applyFont="1" applyFill="1" applyBorder="1" applyAlignment="1">
      <alignment horizontal="center" vertical="center" wrapText="1"/>
    </xf>
    <xf numFmtId="0" fontId="69" fillId="35" borderId="86" xfId="0" applyFont="1" applyFill="1" applyBorder="1" applyAlignment="1">
      <alignment horizontal="center" vertical="center" wrapText="1"/>
    </xf>
    <xf numFmtId="0" fontId="69" fillId="35" borderId="87" xfId="0" applyFont="1" applyFill="1" applyBorder="1" applyAlignment="1">
      <alignment horizontal="center" vertical="center" wrapText="1"/>
    </xf>
    <xf numFmtId="0" fontId="69" fillId="35" borderId="88" xfId="0" applyFont="1" applyFill="1" applyBorder="1" applyAlignment="1">
      <alignment horizontal="center" vertical="center" wrapText="1"/>
    </xf>
    <xf numFmtId="0" fontId="29" fillId="0" borderId="82" xfId="0" applyFont="1" applyBorder="1" applyAlignment="1">
      <alignment horizontal="left" vertical="center"/>
    </xf>
    <xf numFmtId="0" fontId="29" fillId="0" borderId="83" xfId="0" applyFont="1" applyBorder="1" applyAlignment="1">
      <alignment horizontal="left" vertical="center"/>
    </xf>
    <xf numFmtId="0" fontId="29" fillId="0" borderId="87" xfId="0" applyFont="1" applyBorder="1" applyAlignment="1">
      <alignment horizontal="left" vertical="center"/>
    </xf>
    <xf numFmtId="0" fontId="29" fillId="0" borderId="88" xfId="0" applyFont="1" applyBorder="1" applyAlignment="1">
      <alignment horizontal="left" vertical="center"/>
    </xf>
    <xf numFmtId="37" fontId="72" fillId="0" borderId="82" xfId="1" applyNumberFormat="1" applyFont="1" applyBorder="1" applyAlignment="1">
      <alignment horizontal="left" vertical="top"/>
    </xf>
    <xf numFmtId="37" fontId="72" fillId="0" borderId="83" xfId="1" applyNumberFormat="1" applyFont="1" applyBorder="1" applyAlignment="1">
      <alignment horizontal="left" vertical="top"/>
    </xf>
    <xf numFmtId="0" fontId="72" fillId="0" borderId="87" xfId="0" applyFont="1" applyBorder="1" applyAlignment="1">
      <alignment horizontal="left" vertical="center"/>
    </xf>
    <xf numFmtId="0" fontId="72" fillId="0" borderId="88" xfId="0" applyFont="1" applyBorder="1" applyAlignment="1">
      <alignment horizontal="left" vertical="center"/>
    </xf>
    <xf numFmtId="0" fontId="29" fillId="0" borderId="0" xfId="0" applyFont="1" applyAlignment="1">
      <alignment horizontal="left" vertical="top" wrapText="1"/>
    </xf>
    <xf numFmtId="0" fontId="31" fillId="19" borderId="0" xfId="0" applyFont="1" applyFill="1" applyAlignment="1">
      <alignment horizontal="center" wrapText="1"/>
    </xf>
    <xf numFmtId="0" fontId="29" fillId="0" borderId="90" xfId="0" applyFont="1" applyBorder="1" applyAlignment="1">
      <alignment horizontal="left" vertical="top"/>
    </xf>
    <xf numFmtId="0" fontId="29" fillId="0" borderId="39" xfId="0" applyFont="1" applyBorder="1" applyAlignment="1">
      <alignment horizontal="left" vertical="top"/>
    </xf>
    <xf numFmtId="0" fontId="85" fillId="20" borderId="141" xfId="11" applyFont="1" applyFill="1" applyBorder="1" applyAlignment="1">
      <alignment horizontal="center" vertical="center" textRotation="90" wrapText="1"/>
    </xf>
    <xf numFmtId="0" fontId="85" fillId="20" borderId="142" xfId="11" applyFont="1" applyFill="1" applyBorder="1" applyAlignment="1">
      <alignment horizontal="center" vertical="center" textRotation="90"/>
    </xf>
    <xf numFmtId="0" fontId="85" fillId="20" borderId="143" xfId="11" applyFont="1" applyFill="1" applyBorder="1" applyAlignment="1">
      <alignment horizontal="center" vertical="center" textRotation="90"/>
    </xf>
    <xf numFmtId="0" fontId="84" fillId="20" borderId="181" xfId="17" applyFont="1" applyFill="1" applyBorder="1" applyAlignment="1">
      <alignment horizontal="right" vertical="center" wrapText="1"/>
    </xf>
    <xf numFmtId="0" fontId="84" fillId="20" borderId="40" xfId="17" applyFont="1" applyFill="1" applyBorder="1" applyAlignment="1">
      <alignment horizontal="right" vertical="center" wrapText="1"/>
    </xf>
    <xf numFmtId="0" fontId="46" fillId="19" borderId="159" xfId="0" applyFont="1" applyFill="1" applyBorder="1" applyAlignment="1">
      <alignment horizontal="left"/>
    </xf>
    <xf numFmtId="0" fontId="46" fillId="19" borderId="160" xfId="0" applyFont="1" applyFill="1" applyBorder="1" applyAlignment="1">
      <alignment horizontal="left"/>
    </xf>
    <xf numFmtId="0" fontId="2" fillId="21" borderId="28" xfId="0" applyFont="1" applyFill="1" applyBorder="1" applyAlignment="1">
      <alignment horizontal="center" vertical="center" wrapText="1"/>
    </xf>
    <xf numFmtId="0" fontId="2" fillId="21" borderId="29" xfId="0" applyFont="1" applyFill="1" applyBorder="1" applyAlignment="1">
      <alignment horizontal="center" vertical="center" wrapText="1"/>
    </xf>
    <xf numFmtId="0" fontId="2" fillId="21" borderId="30" xfId="0" applyFont="1" applyFill="1" applyBorder="1" applyAlignment="1">
      <alignment horizontal="center" vertical="center" wrapText="1"/>
    </xf>
    <xf numFmtId="0" fontId="34" fillId="10" borderId="24" xfId="0" applyFont="1" applyFill="1" applyBorder="1" applyAlignment="1">
      <alignment horizontal="center"/>
    </xf>
    <xf numFmtId="0" fontId="34" fillId="10" borderId="25" xfId="0" applyFont="1" applyFill="1" applyBorder="1" applyAlignment="1">
      <alignment horizontal="center"/>
    </xf>
    <xf numFmtId="0" fontId="34" fillId="10" borderId="26" xfId="0" applyFont="1" applyFill="1" applyBorder="1" applyAlignment="1">
      <alignment horizontal="center"/>
    </xf>
    <xf numFmtId="0" fontId="34" fillId="21" borderId="9" xfId="0" applyFont="1" applyFill="1" applyBorder="1" applyAlignment="1">
      <alignment horizontal="center"/>
    </xf>
    <xf numFmtId="0" fontId="34" fillId="21" borderId="4" xfId="0" applyFont="1" applyFill="1" applyBorder="1" applyAlignment="1">
      <alignment horizontal="center"/>
    </xf>
    <xf numFmtId="0" fontId="26" fillId="21" borderId="11" xfId="0" applyFont="1" applyFill="1" applyBorder="1" applyAlignment="1">
      <alignment horizontal="center"/>
    </xf>
    <xf numFmtId="0" fontId="26" fillId="21" borderId="16" xfId="0" applyFont="1" applyFill="1" applyBorder="1" applyAlignment="1">
      <alignment horizontal="center"/>
    </xf>
    <xf numFmtId="0" fontId="25" fillId="0" borderId="23" xfId="0" applyFont="1" applyBorder="1" applyAlignment="1">
      <alignment horizontal="center" textRotation="90" wrapText="1"/>
    </xf>
    <xf numFmtId="0" fontId="25" fillId="0" borderId="0" xfId="0" applyFont="1" applyAlignment="1">
      <alignment horizontal="center" textRotation="90" wrapText="1"/>
    </xf>
    <xf numFmtId="0" fontId="47" fillId="0" borderId="23" xfId="0" applyFont="1" applyBorder="1" applyAlignment="1">
      <alignment horizontal="center" textRotation="90" wrapText="1"/>
    </xf>
    <xf numFmtId="0" fontId="47" fillId="0" borderId="0" xfId="0" applyFont="1" applyAlignment="1">
      <alignment horizontal="center" textRotation="90" wrapText="1"/>
    </xf>
    <xf numFmtId="0" fontId="48" fillId="20" borderId="203" xfId="0" applyFont="1" applyFill="1" applyBorder="1" applyAlignment="1">
      <alignment horizontal="center" vertical="center" textRotation="90"/>
    </xf>
    <xf numFmtId="0" fontId="48" fillId="20" borderId="204" xfId="0" applyFont="1" applyFill="1" applyBorder="1" applyAlignment="1">
      <alignment horizontal="center" vertical="center" textRotation="90"/>
    </xf>
    <xf numFmtId="0" fontId="48" fillId="20" borderId="205" xfId="0" applyFont="1" applyFill="1" applyBorder="1" applyAlignment="1">
      <alignment horizontal="center" vertical="center" textRotation="90"/>
    </xf>
    <xf numFmtId="0" fontId="1" fillId="16" borderId="102" xfId="0" applyFont="1" applyFill="1" applyBorder="1" applyAlignment="1">
      <alignment horizontal="center"/>
    </xf>
    <xf numFmtId="0" fontId="1" fillId="16" borderId="115" xfId="0" applyFont="1" applyFill="1" applyBorder="1" applyAlignment="1">
      <alignment horizontal="center"/>
    </xf>
    <xf numFmtId="0" fontId="1" fillId="16" borderId="103" xfId="0" applyFont="1" applyFill="1" applyBorder="1" applyAlignment="1">
      <alignment horizontal="center"/>
    </xf>
    <xf numFmtId="0" fontId="2" fillId="45" borderId="11" xfId="0" applyFont="1" applyFill="1" applyBorder="1" applyAlignment="1">
      <alignment horizontal="center" wrapText="1"/>
    </xf>
    <xf numFmtId="0" fontId="2" fillId="45" borderId="27" xfId="0" applyFont="1" applyFill="1" applyBorder="1" applyAlignment="1">
      <alignment horizontal="center" wrapText="1"/>
    </xf>
    <xf numFmtId="0" fontId="2" fillId="45" borderId="16" xfId="0" applyFont="1" applyFill="1" applyBorder="1" applyAlignment="1">
      <alignment horizontal="center" wrapText="1"/>
    </xf>
    <xf numFmtId="0" fontId="1" fillId="16" borderId="52" xfId="0" applyFont="1" applyFill="1" applyBorder="1" applyAlignment="1">
      <alignment horizontal="center"/>
    </xf>
    <xf numFmtId="0" fontId="1" fillId="16" borderId="53" xfId="0" applyFont="1" applyFill="1" applyBorder="1" applyAlignment="1">
      <alignment horizontal="center"/>
    </xf>
    <xf numFmtId="0" fontId="1" fillId="16" borderId="61" xfId="0" applyFont="1" applyFill="1" applyBorder="1" applyAlignment="1">
      <alignment horizontal="center"/>
    </xf>
    <xf numFmtId="0" fontId="1" fillId="16" borderId="102" xfId="0" applyFont="1" applyFill="1" applyBorder="1" applyAlignment="1">
      <alignment horizontal="center" wrapText="1"/>
    </xf>
    <xf numFmtId="0" fontId="1" fillId="16" borderId="115" xfId="0" applyFont="1" applyFill="1" applyBorder="1" applyAlignment="1">
      <alignment horizontal="center" wrapText="1"/>
    </xf>
    <xf numFmtId="0" fontId="1" fillId="16" borderId="103" xfId="0" applyFont="1" applyFill="1" applyBorder="1" applyAlignment="1">
      <alignment horizontal="center" wrapText="1"/>
    </xf>
    <xf numFmtId="0" fontId="1" fillId="0" borderId="28" xfId="0" applyFont="1" applyBorder="1" applyAlignment="1">
      <alignment horizontal="center" wrapText="1"/>
    </xf>
    <xf numFmtId="0" fontId="1" fillId="0" borderId="29" xfId="0" applyFont="1" applyBorder="1" applyAlignment="1">
      <alignment horizontal="center" wrapText="1"/>
    </xf>
    <xf numFmtId="0" fontId="1" fillId="0" borderId="30" xfId="0" applyFont="1" applyBorder="1" applyAlignment="1">
      <alignment horizontal="center" wrapText="1"/>
    </xf>
    <xf numFmtId="0" fontId="1" fillId="16" borderId="169" xfId="0" applyFont="1" applyFill="1" applyBorder="1" applyAlignment="1">
      <alignment horizontal="center"/>
    </xf>
    <xf numFmtId="0" fontId="1" fillId="16" borderId="170" xfId="0" applyFont="1" applyFill="1" applyBorder="1" applyAlignment="1">
      <alignment horizontal="center"/>
    </xf>
    <xf numFmtId="0" fontId="1" fillId="32" borderId="167" xfId="0" applyFont="1" applyFill="1" applyBorder="1" applyAlignment="1">
      <alignment horizontal="center"/>
    </xf>
    <xf numFmtId="0" fontId="1" fillId="32" borderId="169" xfId="0" applyFont="1" applyFill="1" applyBorder="1" applyAlignment="1">
      <alignment horizontal="center"/>
    </xf>
    <xf numFmtId="0" fontId="1" fillId="32" borderId="170" xfId="0" applyFont="1" applyFill="1" applyBorder="1" applyAlignment="1">
      <alignment horizontal="center"/>
    </xf>
    <xf numFmtId="0" fontId="1" fillId="19" borderId="108" xfId="0" applyFont="1" applyFill="1" applyBorder="1" applyAlignment="1">
      <alignment horizontal="center"/>
    </xf>
    <xf numFmtId="0" fontId="1" fillId="19" borderId="110" xfId="0" applyFont="1" applyFill="1" applyBorder="1" applyAlignment="1">
      <alignment horizontal="center"/>
    </xf>
    <xf numFmtId="0" fontId="1" fillId="19" borderId="120" xfId="0" applyFont="1" applyFill="1" applyBorder="1" applyAlignment="1">
      <alignment horizontal="center"/>
    </xf>
    <xf numFmtId="0" fontId="1" fillId="19" borderId="119" xfId="0" applyFont="1" applyFill="1" applyBorder="1" applyAlignment="1">
      <alignment horizontal="center"/>
    </xf>
    <xf numFmtId="0" fontId="1" fillId="19" borderId="121" xfId="0" applyFont="1" applyFill="1" applyBorder="1" applyAlignment="1">
      <alignment horizontal="center"/>
    </xf>
    <xf numFmtId="0" fontId="1" fillId="17" borderId="102" xfId="0" applyFont="1" applyFill="1" applyBorder="1" applyAlignment="1">
      <alignment horizontal="center"/>
    </xf>
    <xf numFmtId="0" fontId="1" fillId="17" borderId="115" xfId="0" applyFont="1" applyFill="1" applyBorder="1" applyAlignment="1">
      <alignment horizontal="center"/>
    </xf>
    <xf numFmtId="0" fontId="1" fillId="17" borderId="103" xfId="0" applyFont="1" applyFill="1" applyBorder="1" applyAlignment="1">
      <alignment horizontal="center"/>
    </xf>
    <xf numFmtId="0" fontId="1" fillId="22" borderId="102" xfId="0" applyFont="1" applyFill="1" applyBorder="1" applyAlignment="1">
      <alignment horizontal="center"/>
    </xf>
    <xf numFmtId="0" fontId="1" fillId="22" borderId="115" xfId="0" applyFont="1" applyFill="1" applyBorder="1" applyAlignment="1">
      <alignment horizontal="center"/>
    </xf>
    <xf numFmtId="0" fontId="1" fillId="22" borderId="103" xfId="0" applyFont="1" applyFill="1" applyBorder="1" applyAlignment="1">
      <alignment horizontal="center"/>
    </xf>
    <xf numFmtId="0" fontId="1" fillId="42" borderId="102" xfId="0" applyFont="1" applyFill="1" applyBorder="1" applyAlignment="1">
      <alignment horizontal="center"/>
    </xf>
    <xf numFmtId="0" fontId="1" fillId="42" borderId="115" xfId="0" applyFont="1" applyFill="1" applyBorder="1" applyAlignment="1">
      <alignment horizontal="center"/>
    </xf>
    <xf numFmtId="0" fontId="1" fillId="42" borderId="103" xfId="0" applyFont="1" applyFill="1" applyBorder="1" applyAlignment="1">
      <alignment horizontal="center"/>
    </xf>
    <xf numFmtId="0" fontId="1" fillId="40" borderId="102" xfId="0" applyFont="1" applyFill="1" applyBorder="1" applyAlignment="1">
      <alignment horizontal="center"/>
    </xf>
    <xf numFmtId="0" fontId="1" fillId="40" borderId="115" xfId="0" applyFont="1" applyFill="1" applyBorder="1" applyAlignment="1">
      <alignment horizontal="center"/>
    </xf>
    <xf numFmtId="0" fontId="1" fillId="40" borderId="103" xfId="0" applyFont="1" applyFill="1" applyBorder="1" applyAlignment="1">
      <alignment horizontal="center"/>
    </xf>
    <xf numFmtId="0" fontId="1" fillId="43" borderId="102" xfId="0" applyFont="1" applyFill="1" applyBorder="1" applyAlignment="1">
      <alignment horizontal="center"/>
    </xf>
    <xf numFmtId="0" fontId="1" fillId="43" borderId="115" xfId="0" applyFont="1" applyFill="1" applyBorder="1" applyAlignment="1">
      <alignment horizontal="center"/>
    </xf>
    <xf numFmtId="0" fontId="1" fillId="43" borderId="103" xfId="0" applyFont="1" applyFill="1" applyBorder="1" applyAlignment="1">
      <alignment horizontal="center"/>
    </xf>
    <xf numFmtId="0" fontId="1" fillId="32" borderId="102" xfId="0" applyFont="1" applyFill="1" applyBorder="1" applyAlignment="1">
      <alignment horizontal="center"/>
    </xf>
    <xf numFmtId="0" fontId="1" fillId="32" borderId="115" xfId="0" applyFont="1" applyFill="1" applyBorder="1" applyAlignment="1">
      <alignment horizontal="center"/>
    </xf>
    <xf numFmtId="0" fontId="1" fillId="32" borderId="103" xfId="0" applyFont="1" applyFill="1" applyBorder="1" applyAlignment="1">
      <alignment horizontal="center"/>
    </xf>
    <xf numFmtId="0" fontId="1" fillId="0" borderId="164" xfId="0" applyFont="1" applyBorder="1" applyAlignment="1">
      <alignment horizontal="center" wrapText="1"/>
    </xf>
    <xf numFmtId="0" fontId="1" fillId="0" borderId="11" xfId="0" applyFont="1" applyBorder="1" applyAlignment="1">
      <alignment horizontal="center" wrapText="1"/>
    </xf>
    <xf numFmtId="0" fontId="1" fillId="33" borderId="93" xfId="0" applyFont="1" applyFill="1" applyBorder="1" applyAlignment="1">
      <alignment horizontal="center"/>
    </xf>
    <xf numFmtId="0" fontId="1" fillId="33" borderId="94" xfId="0" applyFont="1" applyFill="1" applyBorder="1" applyAlignment="1">
      <alignment horizontal="center"/>
    </xf>
    <xf numFmtId="0" fontId="1" fillId="27" borderId="102" xfId="0" applyFont="1" applyFill="1" applyBorder="1" applyAlignment="1">
      <alignment horizontal="center"/>
    </xf>
    <xf numFmtId="0" fontId="1" fillId="27" borderId="115" xfId="0" applyFont="1" applyFill="1" applyBorder="1" applyAlignment="1">
      <alignment horizontal="center"/>
    </xf>
    <xf numFmtId="0" fontId="1" fillId="27" borderId="103" xfId="0" applyFont="1" applyFill="1" applyBorder="1" applyAlignment="1">
      <alignment horizontal="center"/>
    </xf>
    <xf numFmtId="0" fontId="1" fillId="28" borderId="102" xfId="0" applyFont="1" applyFill="1" applyBorder="1" applyAlignment="1">
      <alignment horizontal="center"/>
    </xf>
    <xf numFmtId="0" fontId="1" fillId="28" borderId="115" xfId="0" applyFont="1" applyFill="1" applyBorder="1" applyAlignment="1">
      <alignment horizontal="center"/>
    </xf>
    <xf numFmtId="0" fontId="1" fillId="28" borderId="103" xfId="0" applyFont="1" applyFill="1" applyBorder="1" applyAlignment="1">
      <alignment horizontal="center"/>
    </xf>
    <xf numFmtId="0" fontId="1" fillId="27" borderId="95" xfId="0" applyFont="1" applyFill="1" applyBorder="1" applyAlignment="1">
      <alignment horizontal="center" wrapText="1"/>
    </xf>
    <xf numFmtId="0" fontId="1" fillId="27" borderId="11" xfId="0" applyFont="1" applyFill="1" applyBorder="1" applyAlignment="1">
      <alignment horizontal="center" wrapText="1"/>
    </xf>
    <xf numFmtId="0" fontId="12" fillId="0" borderId="196" xfId="0" applyFont="1" applyBorder="1" applyAlignment="1">
      <alignment horizontal="center"/>
    </xf>
    <xf numFmtId="0" fontId="12" fillId="0" borderId="197" xfId="0" applyFont="1" applyBorder="1" applyAlignment="1">
      <alignment horizontal="center"/>
    </xf>
    <xf numFmtId="0" fontId="1" fillId="0" borderId="116" xfId="0" applyFont="1" applyBorder="1" applyAlignment="1">
      <alignment horizontal="center" wrapText="1"/>
    </xf>
    <xf numFmtId="0" fontId="1" fillId="0" borderId="62" xfId="0" applyFont="1" applyBorder="1" applyAlignment="1">
      <alignment horizontal="center" wrapText="1"/>
    </xf>
    <xf numFmtId="0" fontId="17" fillId="0" borderId="66" xfId="0" applyFont="1" applyBorder="1" applyAlignment="1">
      <alignment horizontal="center" textRotation="90" wrapText="1"/>
    </xf>
    <xf numFmtId="0" fontId="17" fillId="0" borderId="67" xfId="0" applyFont="1" applyBorder="1" applyAlignment="1">
      <alignment horizontal="center" textRotation="90" wrapText="1"/>
    </xf>
    <xf numFmtId="2" fontId="64" fillId="0" borderId="0" xfId="14" applyNumberFormat="1" applyFont="1" applyAlignment="1">
      <alignment horizontal="left" wrapText="1"/>
    </xf>
    <xf numFmtId="0" fontId="18" fillId="0" borderId="145" xfId="14" applyFont="1" applyBorder="1" applyAlignment="1">
      <alignment horizontal="center" wrapText="1"/>
    </xf>
    <xf numFmtId="0" fontId="18" fillId="0" borderId="146" xfId="14" applyFont="1" applyBorder="1" applyAlignment="1">
      <alignment horizontal="center" wrapText="1"/>
    </xf>
  </cellXfs>
  <cellStyles count="18">
    <cellStyle name="Comma" xfId="1" builtinId="3"/>
    <cellStyle name="Normal" xfId="0" builtinId="0"/>
    <cellStyle name="Normal 2" xfId="2" xr:uid="{00000000-0005-0000-0000-000002000000}"/>
    <cellStyle name="Normal 3" xfId="3" xr:uid="{00000000-0005-0000-0000-000003000000}"/>
    <cellStyle name="Normal 4" xfId="4" xr:uid="{00000000-0005-0000-0000-000004000000}"/>
    <cellStyle name="Normal 5" xfId="16" xr:uid="{00000000-0005-0000-0000-000005000000}"/>
    <cellStyle name="Normal 6" xfId="5" xr:uid="{00000000-0005-0000-0000-000006000000}"/>
    <cellStyle name="Normal_Camp Elevations" xfId="6" xr:uid="{00000000-0005-0000-0000-000007000000}"/>
    <cellStyle name="Normal_Camp Elevations_1" xfId="14" xr:uid="{00000000-0005-0000-0000-000008000000}"/>
    <cellStyle name="Normal_Camp Programs" xfId="7" xr:uid="{00000000-0005-0000-0000-000009000000}"/>
    <cellStyle name="Normal_Descriptions" xfId="15" xr:uid="{00000000-0005-0000-0000-00000A000000}"/>
    <cellStyle name="Normal_Descriptions_1" xfId="8" xr:uid="{00000000-0005-0000-0000-00000B000000}"/>
    <cellStyle name="Normal_Itineraries" xfId="9" xr:uid="{00000000-0005-0000-0000-00000C000000}"/>
    <cellStyle name="Normal_Itineraries_2" xfId="10" xr:uid="{00000000-0005-0000-0000-00000E000000}"/>
    <cellStyle name="Normal_Itineraries_3" xfId="13" xr:uid="{00000000-0005-0000-0000-00000F000000}"/>
    <cellStyle name="Normal_itineraryXrefChart" xfId="17" xr:uid="{00000000-0005-0000-0000-000010000000}"/>
    <cellStyle name="Normal_Sheet1" xfId="11" xr:uid="{00000000-0005-0000-0000-000011000000}"/>
    <cellStyle name="Normal_Sheet2" xfId="12" xr:uid="{00000000-0005-0000-0000-000012000000}"/>
  </cellStyles>
  <dxfs count="5">
    <dxf>
      <font>
        <b/>
        <i val="0"/>
      </font>
      <fill>
        <patternFill>
          <bgColor rgb="FFFF9393"/>
        </patternFill>
      </fill>
    </dxf>
    <dxf>
      <fill>
        <patternFill>
          <bgColor theme="5" tint="0.79998168889431442"/>
        </patternFill>
      </fill>
    </dxf>
    <dxf>
      <font>
        <b val="0"/>
        <i val="0"/>
        <condense val="0"/>
        <extend val="0"/>
        <color indexed="55"/>
      </font>
    </dxf>
    <dxf>
      <font>
        <b val="0"/>
        <i val="0"/>
        <condense val="0"/>
        <extend val="0"/>
        <color indexed="55"/>
      </font>
    </dxf>
    <dxf>
      <font>
        <b val="0"/>
        <i val="0"/>
        <condense val="0"/>
        <extend val="0"/>
        <color indexed="55"/>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CC"/>
      <color rgb="FFFF4B4B"/>
      <color rgb="FFFFA7A7"/>
      <color rgb="FFFFBDBD"/>
      <color rgb="FFDCE6F1"/>
      <color rgb="FFC4BD97"/>
      <color rgb="FFDEDAC4"/>
      <color rgb="FFE6B8B7"/>
      <color rgb="FFFFFF99"/>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6.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worksheet" Target="worksheets/sheet9.xml"/><Relationship Id="rId24" Type="http://schemas.openxmlformats.org/officeDocument/2006/relationships/calcChain" Target="calcChain.xml"/><Relationship Id="rId5" Type="http://schemas.openxmlformats.org/officeDocument/2006/relationships/chartsheet" Target="chartsheets/sheet1.xml"/><Relationship Id="rId15" Type="http://schemas.openxmlformats.org/officeDocument/2006/relationships/worksheet" Target="worksheets/sheet13.xml"/><Relationship Id="rId23" Type="http://schemas.microsoft.com/office/2017/10/relationships/person" Target="persons/person.xml"/><Relationship Id="rId10" Type="http://schemas.openxmlformats.org/officeDocument/2006/relationships/worksheet" Target="worksheets/sheet8.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600" b="1" i="0" u="none" strike="noStrike" baseline="0">
                <a:solidFill>
                  <a:srgbClr val="000000"/>
                </a:solidFill>
                <a:latin typeface="Arial"/>
                <a:ea typeface="Arial"/>
                <a:cs typeface="Arial"/>
              </a:defRPr>
            </a:pPr>
            <a:r>
              <a:rPr lang="en-US" sz="800" baseline="0"/>
              <a:t>Relative Ranking of Top 6 Itineraries</a:t>
            </a:r>
          </a:p>
        </c:rich>
      </c:tx>
      <c:layout>
        <c:manualLayout>
          <c:xMode val="edge"/>
          <c:yMode val="edge"/>
          <c:x val="0.2703981074777223"/>
          <c:y val="7.1893031099085181E-2"/>
        </c:manualLayout>
      </c:layout>
      <c:overlay val="0"/>
      <c:spPr>
        <a:noFill/>
        <a:ln w="25400">
          <a:noFill/>
        </a:ln>
      </c:spPr>
    </c:title>
    <c:autoTitleDeleted val="0"/>
    <c:view3D>
      <c:rotX val="15"/>
      <c:hPercent val="75"/>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0.15142655696685681"/>
          <c:y val="1.1837666684281914E-2"/>
          <c:w val="0.82931243199917859"/>
          <c:h val="0.94030471180035502"/>
        </c:manualLayout>
      </c:layout>
      <c:bar3DChart>
        <c:barDir val="col"/>
        <c:grouping val="stacked"/>
        <c:varyColors val="0"/>
        <c:ser>
          <c:idx val="0"/>
          <c:order val="0"/>
          <c:spPr>
            <a:solidFill>
              <a:schemeClr val="accent2">
                <a:lumMod val="75000"/>
              </a:schemeClr>
            </a:solidFill>
            <a:ln w="12700">
              <a:solidFill>
                <a:srgbClr val="000000"/>
              </a:solidFill>
              <a:prstDash val="solid"/>
            </a:ln>
          </c:spPr>
          <c:invertIfNegative val="0"/>
          <c:cat>
            <c:strRef>
              <c:f>Results!$A$4:$A$9</c:f>
              <c:strCache>
                <c:ptCount val="6"/>
                <c:pt idx="0">
                  <c:v>9-11</c:v>
                </c:pt>
                <c:pt idx="1">
                  <c:v>9-12</c:v>
                </c:pt>
                <c:pt idx="2">
                  <c:v>9-6</c:v>
                </c:pt>
                <c:pt idx="3">
                  <c:v>9-10</c:v>
                </c:pt>
                <c:pt idx="4">
                  <c:v>9-8</c:v>
                </c:pt>
                <c:pt idx="5">
                  <c:v>9-4</c:v>
                </c:pt>
              </c:strCache>
            </c:strRef>
          </c:cat>
          <c:val>
            <c:numRef>
              <c:f>Results!$D$4:$D$9</c:f>
              <c:numCache>
                <c:formatCode>#,##0.00</c:formatCode>
                <c:ptCount val="6"/>
                <c:pt idx="0">
                  <c:v>13599.5</c:v>
                </c:pt>
                <c:pt idx="1">
                  <c:v>13374.5</c:v>
                </c:pt>
                <c:pt idx="2">
                  <c:v>13363.2</c:v>
                </c:pt>
                <c:pt idx="3">
                  <c:v>12817</c:v>
                </c:pt>
                <c:pt idx="4">
                  <c:v>11933.8</c:v>
                </c:pt>
                <c:pt idx="5">
                  <c:v>11543.4</c:v>
                </c:pt>
              </c:numCache>
            </c:numRef>
          </c:val>
          <c:extLst>
            <c:ext xmlns:c16="http://schemas.microsoft.com/office/drawing/2014/chart" uri="{C3380CC4-5D6E-409C-BE32-E72D297353CC}">
              <c16:uniqueId val="{00000000-EC6F-49CB-9C0F-C658AF3BDDCF}"/>
            </c:ext>
          </c:extLst>
        </c:ser>
        <c:dLbls>
          <c:showLegendKey val="0"/>
          <c:showVal val="0"/>
          <c:showCatName val="0"/>
          <c:showSerName val="0"/>
          <c:showPercent val="0"/>
          <c:showBubbleSize val="0"/>
        </c:dLbls>
        <c:gapWidth val="80"/>
        <c:gapDepth val="80"/>
        <c:shape val="box"/>
        <c:axId val="137364752"/>
        <c:axId val="356301640"/>
        <c:axId val="0"/>
      </c:bar3DChart>
      <c:catAx>
        <c:axId val="1373647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356301640"/>
        <c:crosses val="autoZero"/>
        <c:auto val="1"/>
        <c:lblAlgn val="ctr"/>
        <c:lblOffset val="100"/>
        <c:tickLblSkip val="1"/>
        <c:tickMarkSkip val="1"/>
        <c:noMultiLvlLbl val="0"/>
      </c:catAx>
      <c:valAx>
        <c:axId val="35630164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137364752"/>
        <c:crosses val="autoZero"/>
        <c:crossBetween val="between"/>
      </c:valAx>
      <c:spPr>
        <a:noFill/>
        <a:ln w="25400">
          <a:noFill/>
        </a:ln>
      </c:spPr>
    </c:plotArea>
    <c:plotVisOnly val="1"/>
    <c:dispBlanksAs val="gap"/>
    <c:showDLblsOverMax val="0"/>
  </c:chart>
  <c:spPr>
    <a:noFill/>
    <a:ln w="9525">
      <a:noFill/>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Itinerary Priorities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view3D>
      <c:rotX val="15"/>
      <c:rotY val="20"/>
      <c:depthPercent val="100"/>
      <c:rAngAx val="1"/>
    </c:view3D>
    <c:floor>
      <c:thickness val="0"/>
      <c:spPr>
        <a:solidFill>
          <a:schemeClr val="accent3">
            <a:lumMod val="20000"/>
            <a:lumOff val="80000"/>
          </a:schemeClr>
        </a:solidFill>
        <a:ln>
          <a:noFill/>
        </a:ln>
        <a:effectLst/>
        <a:sp3d/>
      </c:spPr>
    </c:floor>
    <c:sideWall>
      <c:thickness val="0"/>
      <c:spPr>
        <a:solidFill>
          <a:schemeClr val="accent3">
            <a:lumMod val="20000"/>
            <a:lumOff val="80000"/>
          </a:schemeClr>
        </a:solidFill>
        <a:ln>
          <a:noFill/>
        </a:ln>
        <a:effectLst/>
        <a:sp3d/>
      </c:spPr>
    </c:sideWall>
    <c:backWall>
      <c:thickness val="0"/>
      <c:spPr>
        <a:solidFill>
          <a:schemeClr val="accent3">
            <a:lumMod val="20000"/>
            <a:lumOff val="80000"/>
          </a:schemeClr>
        </a:solidFill>
        <a:ln>
          <a:noFill/>
        </a:ln>
        <a:effectLst/>
        <a:sp3d/>
      </c:spPr>
    </c:backWall>
    <c:plotArea>
      <c:layout/>
      <c:bar3DChart>
        <c:barDir val="col"/>
        <c:grouping val="stacked"/>
        <c:varyColors val="0"/>
        <c:ser>
          <c:idx val="1"/>
          <c:order val="1"/>
          <c:tx>
            <c:v>Calculated Itinerary Value</c:v>
          </c:tx>
          <c:spPr>
            <a:solidFill>
              <a:schemeClr val="accent2"/>
            </a:solidFill>
            <a:ln>
              <a:noFill/>
            </a:ln>
            <a:effectLst/>
            <a:sp3d/>
          </c:spPr>
          <c:invertIfNegative val="0"/>
          <c:cat>
            <c:strRef>
              <c:f>Results!$A$4:$A$15</c:f>
              <c:strCache>
                <c:ptCount val="12"/>
                <c:pt idx="0">
                  <c:v>9-11</c:v>
                </c:pt>
                <c:pt idx="1">
                  <c:v>9-12</c:v>
                </c:pt>
                <c:pt idx="2">
                  <c:v>9-6</c:v>
                </c:pt>
                <c:pt idx="3">
                  <c:v>9-10</c:v>
                </c:pt>
                <c:pt idx="4">
                  <c:v>9-8</c:v>
                </c:pt>
                <c:pt idx="5">
                  <c:v>9-4</c:v>
                </c:pt>
                <c:pt idx="6">
                  <c:v>9-1</c:v>
                </c:pt>
                <c:pt idx="7">
                  <c:v>9-9</c:v>
                </c:pt>
                <c:pt idx="8">
                  <c:v>9-7</c:v>
                </c:pt>
                <c:pt idx="9">
                  <c:v>9-5</c:v>
                </c:pt>
                <c:pt idx="10">
                  <c:v>9-2</c:v>
                </c:pt>
                <c:pt idx="11">
                  <c:v>9-3</c:v>
                </c:pt>
              </c:strCache>
            </c:strRef>
          </c:cat>
          <c:val>
            <c:numRef>
              <c:f>Results!$D$4:$D$15</c:f>
              <c:numCache>
                <c:formatCode>#,##0.00</c:formatCode>
                <c:ptCount val="12"/>
                <c:pt idx="0">
                  <c:v>13599.5</c:v>
                </c:pt>
                <c:pt idx="1">
                  <c:v>13374.5</c:v>
                </c:pt>
                <c:pt idx="2">
                  <c:v>13363.2</c:v>
                </c:pt>
                <c:pt idx="3">
                  <c:v>12817</c:v>
                </c:pt>
                <c:pt idx="4">
                  <c:v>11933.8</c:v>
                </c:pt>
                <c:pt idx="5">
                  <c:v>11543.4</c:v>
                </c:pt>
                <c:pt idx="6">
                  <c:v>11089.3</c:v>
                </c:pt>
                <c:pt idx="7">
                  <c:v>11007.1</c:v>
                </c:pt>
                <c:pt idx="8">
                  <c:v>10761.1</c:v>
                </c:pt>
                <c:pt idx="9">
                  <c:v>10674.2</c:v>
                </c:pt>
                <c:pt idx="10">
                  <c:v>10262</c:v>
                </c:pt>
                <c:pt idx="11">
                  <c:v>9679.2999999999993</c:v>
                </c:pt>
              </c:numCache>
            </c:numRef>
          </c:val>
          <c:extLst>
            <c:ext xmlns:c16="http://schemas.microsoft.com/office/drawing/2014/chart" uri="{C3380CC4-5D6E-409C-BE32-E72D297353CC}">
              <c16:uniqueId val="{00000001-BCBA-4953-9650-2FE8347656E8}"/>
            </c:ext>
          </c:extLst>
        </c:ser>
        <c:dLbls>
          <c:showLegendKey val="0"/>
          <c:showVal val="0"/>
          <c:showCatName val="0"/>
          <c:showSerName val="0"/>
          <c:showPercent val="0"/>
          <c:showBubbleSize val="0"/>
        </c:dLbls>
        <c:gapWidth val="64"/>
        <c:gapDepth val="126"/>
        <c:shape val="box"/>
        <c:axId val="317282816"/>
        <c:axId val="356278056"/>
        <c:axId val="0"/>
        <c:extLst>
          <c:ext xmlns:c15="http://schemas.microsoft.com/office/drawing/2012/chart" uri="{02D57815-91ED-43cb-92C2-25804820EDAC}">
            <c15:filteredBarSeries>
              <c15:ser>
                <c:idx val="0"/>
                <c:order val="0"/>
                <c:spPr>
                  <a:solidFill>
                    <a:schemeClr val="accent1"/>
                  </a:solidFill>
                  <a:ln>
                    <a:noFill/>
                  </a:ln>
                  <a:effectLst/>
                  <a:sp3d/>
                </c:spPr>
                <c:invertIfNegative val="0"/>
                <c:cat>
                  <c:strRef>
                    <c:extLst>
                      <c:ext uri="{02D57815-91ED-43cb-92C2-25804820EDAC}">
                        <c15:formulaRef>
                          <c15:sqref>Results!$A$4:$A$15</c15:sqref>
                        </c15:formulaRef>
                      </c:ext>
                    </c:extLst>
                    <c:strCache>
                      <c:ptCount val="12"/>
                      <c:pt idx="0">
                        <c:v>9-11</c:v>
                      </c:pt>
                      <c:pt idx="1">
                        <c:v>9-12</c:v>
                      </c:pt>
                      <c:pt idx="2">
                        <c:v>9-6</c:v>
                      </c:pt>
                      <c:pt idx="3">
                        <c:v>9-10</c:v>
                      </c:pt>
                      <c:pt idx="4">
                        <c:v>9-8</c:v>
                      </c:pt>
                      <c:pt idx="5">
                        <c:v>9-4</c:v>
                      </c:pt>
                      <c:pt idx="6">
                        <c:v>9-1</c:v>
                      </c:pt>
                      <c:pt idx="7">
                        <c:v>9-9</c:v>
                      </c:pt>
                      <c:pt idx="8">
                        <c:v>9-7</c:v>
                      </c:pt>
                      <c:pt idx="9">
                        <c:v>9-5</c:v>
                      </c:pt>
                      <c:pt idx="10">
                        <c:v>9-2</c:v>
                      </c:pt>
                      <c:pt idx="11">
                        <c:v>9-3</c:v>
                      </c:pt>
                    </c:strCache>
                  </c:strRef>
                </c:cat>
                <c:val>
                  <c:numRef>
                    <c:extLst>
                      <c:ext uri="{02D57815-91ED-43cb-92C2-25804820EDAC}">
                        <c15:formulaRef>
                          <c15:sqref>Results!$A$4:$A$15</c15:sqref>
                        </c15:formulaRef>
                      </c:ext>
                    </c:extLst>
                    <c:numCache>
                      <c:formatCode>@</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CBA-4953-9650-2FE8347656E8}"/>
                  </c:ext>
                </c:extLst>
              </c15:ser>
            </c15:filteredBarSeries>
          </c:ext>
        </c:extLst>
      </c:bar3DChart>
      <c:catAx>
        <c:axId val="3172828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278056"/>
        <c:crosses val="autoZero"/>
        <c:auto val="1"/>
        <c:lblAlgn val="ctr"/>
        <c:lblOffset val="100"/>
        <c:noMultiLvlLbl val="0"/>
      </c:catAx>
      <c:valAx>
        <c:axId val="356278056"/>
        <c:scaling>
          <c:orientation val="minMax"/>
          <c:max val="13609.5"/>
          <c:min val="9669.2999999999993"/>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8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sz="1600" i="0" baseline="0">
                <a:solidFill>
                  <a:schemeClr val="tx1"/>
                </a:solidFill>
              </a:rPr>
              <a:t>Crew Program Preferences
</a:t>
            </a:r>
            <a:r>
              <a:rPr lang="en-US" sz="1000" i="1" baseline="0">
                <a:solidFill>
                  <a:schemeClr val="tx1"/>
                </a:solidFill>
              </a:rPr>
              <a:t>(Based on Total Score)</a:t>
            </a:r>
          </a:p>
        </c:rich>
      </c:tx>
      <c:layout>
        <c:manualLayout>
          <c:xMode val="edge"/>
          <c:yMode val="edge"/>
          <c:x val="0.30106914601776469"/>
          <c:y val="3.3857267629861257E-2"/>
        </c:manualLayout>
      </c:layout>
      <c:overlay val="1"/>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0.30234741784037561"/>
          <c:y val="0.11416490486257928"/>
          <c:w val="0.66384976525821593"/>
          <c:h val="0.87420718816067655"/>
        </c:manualLayout>
      </c:layout>
      <c:barChart>
        <c:barDir val="bar"/>
        <c:grouping val="clustered"/>
        <c:varyColors val="1"/>
        <c:ser>
          <c:idx val="0"/>
          <c:order val="0"/>
          <c:tx>
            <c:strRef>
              <c:f>Results!$H$2</c:f>
              <c:strCache>
                <c:ptCount val="1"/>
              </c:strCache>
            </c:strRef>
          </c:tx>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376D-4C8E-B5FB-C75286CBAA0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376D-4C8E-B5FB-C75286CBAA0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376D-4C8E-B5FB-C75286CBAA0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376D-4C8E-B5FB-C75286CBAA0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376D-4C8E-B5FB-C75286CBAA0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376D-4C8E-B5FB-C75286CBAA0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D-376D-4C8E-B5FB-C75286CBAA04}"/>
              </c:ext>
            </c:extLst>
          </c:dPt>
          <c:dPt>
            <c:idx val="7"/>
            <c:invertIfNegative val="0"/>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F-376D-4C8E-B5FB-C75286CBAA04}"/>
              </c:ext>
            </c:extLst>
          </c:dPt>
          <c:dPt>
            <c:idx val="8"/>
            <c:invertIfNegative val="0"/>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1-376D-4C8E-B5FB-C75286CBAA04}"/>
              </c:ext>
            </c:extLst>
          </c:dPt>
          <c:dPt>
            <c:idx val="9"/>
            <c:invertIfNegative val="0"/>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3-376D-4C8E-B5FB-C75286CBAA04}"/>
              </c:ext>
            </c:extLst>
          </c:dPt>
          <c:dPt>
            <c:idx val="10"/>
            <c:invertIfNegative val="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5-376D-4C8E-B5FB-C75286CBAA04}"/>
              </c:ext>
            </c:extLst>
          </c:dPt>
          <c:dPt>
            <c:idx val="11"/>
            <c:invertIfNegative val="0"/>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7-376D-4C8E-B5FB-C75286CBAA04}"/>
              </c:ext>
            </c:extLst>
          </c:dPt>
          <c:dPt>
            <c:idx val="12"/>
            <c:invertIfNegative val="0"/>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9-376D-4C8E-B5FB-C75286CBAA04}"/>
              </c:ext>
            </c:extLst>
          </c:dPt>
          <c:dPt>
            <c:idx val="13"/>
            <c:invertIfNegative val="0"/>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B-376D-4C8E-B5FB-C75286CBAA04}"/>
              </c:ext>
            </c:extLst>
          </c:dPt>
          <c:dPt>
            <c:idx val="14"/>
            <c:invertIfNegative val="0"/>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D-376D-4C8E-B5FB-C75286CBAA04}"/>
              </c:ext>
            </c:extLst>
          </c:dPt>
          <c:dPt>
            <c:idx val="15"/>
            <c:invertIfNegative val="0"/>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F-376D-4C8E-B5FB-C75286CBAA04}"/>
              </c:ext>
            </c:extLst>
          </c:dPt>
          <c:dPt>
            <c:idx val="16"/>
            <c:invertIfNegative val="0"/>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1-376D-4C8E-B5FB-C75286CBAA04}"/>
              </c:ext>
            </c:extLst>
          </c:dPt>
          <c:dPt>
            <c:idx val="17"/>
            <c:invertIfNegative val="0"/>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3-376D-4C8E-B5FB-C75286CBAA04}"/>
              </c:ext>
            </c:extLst>
          </c:dPt>
          <c:dPt>
            <c:idx val="18"/>
            <c:invertIfNegative val="0"/>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5-376D-4C8E-B5FB-C75286CBAA04}"/>
              </c:ext>
            </c:extLst>
          </c:dPt>
          <c:dPt>
            <c:idx val="19"/>
            <c:invertIfNegative val="0"/>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7-376D-4C8E-B5FB-C75286CBAA04}"/>
              </c:ext>
            </c:extLst>
          </c:dPt>
          <c:dPt>
            <c:idx val="20"/>
            <c:invertIfNegative val="0"/>
            <c:bubble3D val="0"/>
            <c:spPr>
              <a:gradFill rotWithShape="1">
                <a:gsLst>
                  <a:gs pos="0">
                    <a:schemeClr val="accent3">
                      <a:lumMod val="80000"/>
                      <a:shade val="51000"/>
                      <a:satMod val="130000"/>
                    </a:schemeClr>
                  </a:gs>
                  <a:gs pos="80000">
                    <a:schemeClr val="accent3">
                      <a:lumMod val="80000"/>
                      <a:shade val="93000"/>
                      <a:satMod val="130000"/>
                    </a:schemeClr>
                  </a:gs>
                  <a:gs pos="100000">
                    <a:schemeClr val="accent3">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9-376D-4C8E-B5FB-C75286CBAA04}"/>
              </c:ext>
            </c:extLst>
          </c:dPt>
          <c:dPt>
            <c:idx val="21"/>
            <c:invertIfNegative val="0"/>
            <c:bubble3D val="0"/>
            <c:spPr>
              <a:gradFill rotWithShape="1">
                <a:gsLst>
                  <a:gs pos="0">
                    <a:schemeClr val="accent4">
                      <a:lumMod val="80000"/>
                      <a:shade val="51000"/>
                      <a:satMod val="130000"/>
                    </a:schemeClr>
                  </a:gs>
                  <a:gs pos="80000">
                    <a:schemeClr val="accent4">
                      <a:lumMod val="80000"/>
                      <a:shade val="93000"/>
                      <a:satMod val="130000"/>
                    </a:schemeClr>
                  </a:gs>
                  <a:gs pos="100000">
                    <a:schemeClr val="accent4">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B-376D-4C8E-B5FB-C75286CBAA04}"/>
              </c:ext>
            </c:extLst>
          </c:dPt>
          <c:dPt>
            <c:idx val="22"/>
            <c:invertIfNegative val="0"/>
            <c:bubble3D val="0"/>
            <c:spPr>
              <a:gradFill rotWithShape="1">
                <a:gsLst>
                  <a:gs pos="0">
                    <a:schemeClr val="accent5">
                      <a:lumMod val="80000"/>
                      <a:shade val="51000"/>
                      <a:satMod val="130000"/>
                    </a:schemeClr>
                  </a:gs>
                  <a:gs pos="80000">
                    <a:schemeClr val="accent5">
                      <a:lumMod val="80000"/>
                      <a:shade val="93000"/>
                      <a:satMod val="130000"/>
                    </a:schemeClr>
                  </a:gs>
                  <a:gs pos="100000">
                    <a:schemeClr val="accent5">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D-376D-4C8E-B5FB-C75286CBAA04}"/>
              </c:ext>
            </c:extLst>
          </c:dPt>
          <c:dPt>
            <c:idx val="23"/>
            <c:invertIfNegative val="0"/>
            <c:bubble3D val="0"/>
            <c:spPr>
              <a:gradFill rotWithShape="1">
                <a:gsLst>
                  <a:gs pos="0">
                    <a:schemeClr val="accent6">
                      <a:lumMod val="80000"/>
                      <a:shade val="51000"/>
                      <a:satMod val="130000"/>
                    </a:schemeClr>
                  </a:gs>
                  <a:gs pos="80000">
                    <a:schemeClr val="accent6">
                      <a:lumMod val="80000"/>
                      <a:shade val="93000"/>
                      <a:satMod val="130000"/>
                    </a:schemeClr>
                  </a:gs>
                  <a:gs pos="100000">
                    <a:schemeClr val="accent6">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F-376D-4C8E-B5FB-C75286CBAA04}"/>
              </c:ext>
            </c:extLst>
          </c:dPt>
          <c:dPt>
            <c:idx val="24"/>
            <c:invertIfNegative val="0"/>
            <c:bubble3D val="0"/>
            <c:spPr>
              <a:gradFill rotWithShape="1">
                <a:gsLst>
                  <a:gs pos="0">
                    <a:schemeClr val="accent1">
                      <a:lumMod val="60000"/>
                      <a:lumOff val="40000"/>
                      <a:shade val="51000"/>
                      <a:satMod val="130000"/>
                    </a:schemeClr>
                  </a:gs>
                  <a:gs pos="80000">
                    <a:schemeClr val="accent1">
                      <a:lumMod val="60000"/>
                      <a:lumOff val="40000"/>
                      <a:shade val="93000"/>
                      <a:satMod val="130000"/>
                    </a:schemeClr>
                  </a:gs>
                  <a:gs pos="100000">
                    <a:schemeClr val="accent1">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1-376D-4C8E-B5FB-C75286CBAA04}"/>
              </c:ext>
            </c:extLst>
          </c:dPt>
          <c:dPt>
            <c:idx val="25"/>
            <c:invertIfNegative val="0"/>
            <c:bubble3D val="0"/>
            <c:spPr>
              <a:gradFill rotWithShape="1">
                <a:gsLst>
                  <a:gs pos="0">
                    <a:schemeClr val="accent2">
                      <a:lumMod val="60000"/>
                      <a:lumOff val="40000"/>
                      <a:shade val="51000"/>
                      <a:satMod val="130000"/>
                    </a:schemeClr>
                  </a:gs>
                  <a:gs pos="80000">
                    <a:schemeClr val="accent2">
                      <a:lumMod val="60000"/>
                      <a:lumOff val="40000"/>
                      <a:shade val="93000"/>
                      <a:satMod val="130000"/>
                    </a:schemeClr>
                  </a:gs>
                  <a:gs pos="100000">
                    <a:schemeClr val="accent2">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3-376D-4C8E-B5FB-C75286CBAA04}"/>
              </c:ext>
            </c:extLst>
          </c:dPt>
          <c:dPt>
            <c:idx val="26"/>
            <c:invertIfNegative val="0"/>
            <c:bubble3D val="0"/>
            <c:spPr>
              <a:gradFill rotWithShape="1">
                <a:gsLst>
                  <a:gs pos="0">
                    <a:schemeClr val="accent3">
                      <a:lumMod val="60000"/>
                      <a:lumOff val="40000"/>
                      <a:shade val="51000"/>
                      <a:satMod val="130000"/>
                    </a:schemeClr>
                  </a:gs>
                  <a:gs pos="80000">
                    <a:schemeClr val="accent3">
                      <a:lumMod val="60000"/>
                      <a:lumOff val="40000"/>
                      <a:shade val="93000"/>
                      <a:satMod val="130000"/>
                    </a:schemeClr>
                  </a:gs>
                  <a:gs pos="100000">
                    <a:schemeClr val="accent3">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5-376D-4C8E-B5FB-C75286CBAA04}"/>
              </c:ext>
            </c:extLst>
          </c:dPt>
          <c:dPt>
            <c:idx val="27"/>
            <c:invertIfNegative val="0"/>
            <c:bubble3D val="0"/>
            <c:spPr>
              <a:gradFill rotWithShape="1">
                <a:gsLst>
                  <a:gs pos="0">
                    <a:schemeClr val="accent4">
                      <a:lumMod val="60000"/>
                      <a:lumOff val="40000"/>
                      <a:shade val="51000"/>
                      <a:satMod val="130000"/>
                    </a:schemeClr>
                  </a:gs>
                  <a:gs pos="80000">
                    <a:schemeClr val="accent4">
                      <a:lumMod val="60000"/>
                      <a:lumOff val="40000"/>
                      <a:shade val="93000"/>
                      <a:satMod val="130000"/>
                    </a:schemeClr>
                  </a:gs>
                  <a:gs pos="100000">
                    <a:schemeClr val="accent4">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7-376D-4C8E-B5FB-C75286CBAA04}"/>
              </c:ext>
            </c:extLst>
          </c:dPt>
          <c:dPt>
            <c:idx val="28"/>
            <c:invertIfNegative val="0"/>
            <c:bubble3D val="0"/>
            <c:spPr>
              <a:gradFill rotWithShape="1">
                <a:gsLst>
                  <a:gs pos="0">
                    <a:schemeClr val="accent5">
                      <a:lumMod val="60000"/>
                      <a:lumOff val="40000"/>
                      <a:shade val="51000"/>
                      <a:satMod val="130000"/>
                    </a:schemeClr>
                  </a:gs>
                  <a:gs pos="80000">
                    <a:schemeClr val="accent5">
                      <a:lumMod val="60000"/>
                      <a:lumOff val="40000"/>
                      <a:shade val="93000"/>
                      <a:satMod val="130000"/>
                    </a:schemeClr>
                  </a:gs>
                  <a:gs pos="100000">
                    <a:schemeClr val="accent5">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9-376D-4C8E-B5FB-C75286CBAA04}"/>
              </c:ext>
            </c:extLst>
          </c:dPt>
          <c:dPt>
            <c:idx val="29"/>
            <c:invertIfNegative val="0"/>
            <c:bubble3D val="0"/>
            <c:spPr>
              <a:gradFill rotWithShape="1">
                <a:gsLst>
                  <a:gs pos="0">
                    <a:schemeClr val="accent6">
                      <a:lumMod val="60000"/>
                      <a:lumOff val="40000"/>
                      <a:shade val="51000"/>
                      <a:satMod val="130000"/>
                    </a:schemeClr>
                  </a:gs>
                  <a:gs pos="80000">
                    <a:schemeClr val="accent6">
                      <a:lumMod val="60000"/>
                      <a:lumOff val="40000"/>
                      <a:shade val="93000"/>
                      <a:satMod val="130000"/>
                    </a:schemeClr>
                  </a:gs>
                  <a:gs pos="100000">
                    <a:schemeClr val="accent6">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B-376D-4C8E-B5FB-C75286CBAA04}"/>
              </c:ext>
            </c:extLst>
          </c:dPt>
          <c:dPt>
            <c:idx val="30"/>
            <c:invertIfNegative val="0"/>
            <c:bubble3D val="0"/>
            <c:spPr>
              <a:gradFill rotWithShape="1">
                <a:gsLst>
                  <a:gs pos="0">
                    <a:schemeClr val="accent1">
                      <a:lumMod val="50000"/>
                      <a:shade val="51000"/>
                      <a:satMod val="130000"/>
                    </a:schemeClr>
                  </a:gs>
                  <a:gs pos="80000">
                    <a:schemeClr val="accent1">
                      <a:lumMod val="50000"/>
                      <a:shade val="93000"/>
                      <a:satMod val="130000"/>
                    </a:schemeClr>
                  </a:gs>
                  <a:gs pos="100000">
                    <a:schemeClr val="accent1">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D-376D-4C8E-B5FB-C75286CBAA04}"/>
              </c:ext>
            </c:extLst>
          </c:dPt>
          <c:dPt>
            <c:idx val="31"/>
            <c:invertIfNegative val="0"/>
            <c:bubble3D val="0"/>
            <c:spPr>
              <a:gradFill rotWithShape="1">
                <a:gsLst>
                  <a:gs pos="0">
                    <a:schemeClr val="accent2">
                      <a:lumMod val="50000"/>
                      <a:shade val="51000"/>
                      <a:satMod val="130000"/>
                    </a:schemeClr>
                  </a:gs>
                  <a:gs pos="80000">
                    <a:schemeClr val="accent2">
                      <a:lumMod val="50000"/>
                      <a:shade val="93000"/>
                      <a:satMod val="130000"/>
                    </a:schemeClr>
                  </a:gs>
                  <a:gs pos="100000">
                    <a:schemeClr val="accent2">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F-376D-4C8E-B5FB-C75286CBAA04}"/>
              </c:ext>
            </c:extLst>
          </c:dPt>
          <c:dPt>
            <c:idx val="32"/>
            <c:invertIfNegative val="0"/>
            <c:bubble3D val="0"/>
            <c:spPr>
              <a:gradFill rotWithShape="1">
                <a:gsLst>
                  <a:gs pos="0">
                    <a:schemeClr val="accent3">
                      <a:lumMod val="50000"/>
                      <a:shade val="51000"/>
                      <a:satMod val="130000"/>
                    </a:schemeClr>
                  </a:gs>
                  <a:gs pos="80000">
                    <a:schemeClr val="accent3">
                      <a:lumMod val="50000"/>
                      <a:shade val="93000"/>
                      <a:satMod val="130000"/>
                    </a:schemeClr>
                  </a:gs>
                  <a:gs pos="100000">
                    <a:schemeClr val="accent3">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1-376D-4C8E-B5FB-C75286CBAA04}"/>
              </c:ext>
            </c:extLst>
          </c:dPt>
          <c:dPt>
            <c:idx val="33"/>
            <c:invertIfNegative val="0"/>
            <c:bubble3D val="0"/>
            <c:spPr>
              <a:gradFill rotWithShape="1">
                <a:gsLst>
                  <a:gs pos="0">
                    <a:schemeClr val="accent4">
                      <a:lumMod val="50000"/>
                      <a:shade val="51000"/>
                      <a:satMod val="130000"/>
                    </a:schemeClr>
                  </a:gs>
                  <a:gs pos="80000">
                    <a:schemeClr val="accent4">
                      <a:lumMod val="50000"/>
                      <a:shade val="93000"/>
                      <a:satMod val="130000"/>
                    </a:schemeClr>
                  </a:gs>
                  <a:gs pos="100000">
                    <a:schemeClr val="accent4">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3-376D-4C8E-B5FB-C75286CBAA04}"/>
              </c:ext>
            </c:extLst>
          </c:dPt>
          <c:dPt>
            <c:idx val="34"/>
            <c:invertIfNegative val="0"/>
            <c:bubble3D val="0"/>
            <c:spPr>
              <a:gradFill rotWithShape="1">
                <a:gsLst>
                  <a:gs pos="0">
                    <a:schemeClr val="accent5">
                      <a:lumMod val="50000"/>
                      <a:shade val="51000"/>
                      <a:satMod val="130000"/>
                    </a:schemeClr>
                  </a:gs>
                  <a:gs pos="80000">
                    <a:schemeClr val="accent5">
                      <a:lumMod val="50000"/>
                      <a:shade val="93000"/>
                      <a:satMod val="130000"/>
                    </a:schemeClr>
                  </a:gs>
                  <a:gs pos="100000">
                    <a:schemeClr val="accent5">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5-376D-4C8E-B5FB-C75286CBAA04}"/>
              </c:ext>
            </c:extLst>
          </c:dPt>
          <c:dPt>
            <c:idx val="35"/>
            <c:invertIfNegative val="0"/>
            <c:bubble3D val="0"/>
            <c:spPr>
              <a:gradFill rotWithShape="1">
                <a:gsLst>
                  <a:gs pos="0">
                    <a:schemeClr val="accent6">
                      <a:lumMod val="50000"/>
                      <a:shade val="51000"/>
                      <a:satMod val="130000"/>
                    </a:schemeClr>
                  </a:gs>
                  <a:gs pos="80000">
                    <a:schemeClr val="accent6">
                      <a:lumMod val="50000"/>
                      <a:shade val="93000"/>
                      <a:satMod val="130000"/>
                    </a:schemeClr>
                  </a:gs>
                  <a:gs pos="100000">
                    <a:schemeClr val="accent6">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7-376D-4C8E-B5FB-C75286CBAA04}"/>
              </c:ext>
            </c:extLst>
          </c:dPt>
          <c:dPt>
            <c:idx val="36"/>
            <c:invertIfNegative val="0"/>
            <c:bubble3D val="0"/>
            <c:spPr>
              <a:gradFill rotWithShape="1">
                <a:gsLst>
                  <a:gs pos="0">
                    <a:schemeClr val="accent1">
                      <a:lumMod val="70000"/>
                      <a:lumOff val="30000"/>
                      <a:shade val="51000"/>
                      <a:satMod val="130000"/>
                    </a:schemeClr>
                  </a:gs>
                  <a:gs pos="80000">
                    <a:schemeClr val="accent1">
                      <a:lumMod val="70000"/>
                      <a:lumOff val="30000"/>
                      <a:shade val="93000"/>
                      <a:satMod val="130000"/>
                    </a:schemeClr>
                  </a:gs>
                  <a:gs pos="100000">
                    <a:schemeClr val="accent1">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9-376D-4C8E-B5FB-C75286CBAA04}"/>
              </c:ext>
            </c:extLst>
          </c:dPt>
          <c:dPt>
            <c:idx val="37"/>
            <c:invertIfNegative val="0"/>
            <c:bubble3D val="0"/>
            <c:spPr>
              <a:gradFill rotWithShape="1">
                <a:gsLst>
                  <a:gs pos="0">
                    <a:schemeClr val="accent2">
                      <a:lumMod val="70000"/>
                      <a:lumOff val="30000"/>
                      <a:shade val="51000"/>
                      <a:satMod val="130000"/>
                    </a:schemeClr>
                  </a:gs>
                  <a:gs pos="80000">
                    <a:schemeClr val="accent2">
                      <a:lumMod val="70000"/>
                      <a:lumOff val="30000"/>
                      <a:shade val="93000"/>
                      <a:satMod val="130000"/>
                    </a:schemeClr>
                  </a:gs>
                  <a:gs pos="100000">
                    <a:schemeClr val="accent2">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B-376D-4C8E-B5FB-C75286CBAA04}"/>
              </c:ext>
            </c:extLst>
          </c:dPt>
          <c:dPt>
            <c:idx val="38"/>
            <c:invertIfNegative val="0"/>
            <c:bubble3D val="0"/>
            <c:spPr>
              <a:gradFill rotWithShape="1">
                <a:gsLst>
                  <a:gs pos="0">
                    <a:schemeClr val="accent3">
                      <a:lumMod val="70000"/>
                      <a:lumOff val="30000"/>
                      <a:shade val="51000"/>
                      <a:satMod val="130000"/>
                    </a:schemeClr>
                  </a:gs>
                  <a:gs pos="80000">
                    <a:schemeClr val="accent3">
                      <a:lumMod val="70000"/>
                      <a:lumOff val="30000"/>
                      <a:shade val="93000"/>
                      <a:satMod val="130000"/>
                    </a:schemeClr>
                  </a:gs>
                  <a:gs pos="100000">
                    <a:schemeClr val="accent3">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D-376D-4C8E-B5FB-C75286CBAA04}"/>
              </c:ext>
            </c:extLst>
          </c:dPt>
          <c:dPt>
            <c:idx val="39"/>
            <c:invertIfNegative val="0"/>
            <c:bubble3D val="0"/>
            <c:spPr>
              <a:gradFill rotWithShape="1">
                <a:gsLst>
                  <a:gs pos="0">
                    <a:schemeClr val="accent4">
                      <a:lumMod val="70000"/>
                      <a:lumOff val="30000"/>
                      <a:shade val="51000"/>
                      <a:satMod val="130000"/>
                    </a:schemeClr>
                  </a:gs>
                  <a:gs pos="80000">
                    <a:schemeClr val="accent4">
                      <a:lumMod val="70000"/>
                      <a:lumOff val="30000"/>
                      <a:shade val="93000"/>
                      <a:satMod val="130000"/>
                    </a:schemeClr>
                  </a:gs>
                  <a:gs pos="100000">
                    <a:schemeClr val="accent4">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F-376D-4C8E-B5FB-C75286CBAA04}"/>
              </c:ext>
            </c:extLst>
          </c:dPt>
          <c:dPt>
            <c:idx val="40"/>
            <c:invertIfNegative val="0"/>
            <c:bubble3D val="0"/>
            <c:spPr>
              <a:gradFill rotWithShape="1">
                <a:gsLst>
                  <a:gs pos="0">
                    <a:schemeClr val="accent5">
                      <a:lumMod val="70000"/>
                      <a:lumOff val="30000"/>
                      <a:shade val="51000"/>
                      <a:satMod val="130000"/>
                    </a:schemeClr>
                  </a:gs>
                  <a:gs pos="80000">
                    <a:schemeClr val="accent5">
                      <a:lumMod val="70000"/>
                      <a:lumOff val="30000"/>
                      <a:shade val="93000"/>
                      <a:satMod val="130000"/>
                    </a:schemeClr>
                  </a:gs>
                  <a:gs pos="100000">
                    <a:schemeClr val="accent5">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1-376D-4C8E-B5FB-C75286CBAA04}"/>
              </c:ext>
            </c:extLst>
          </c:dPt>
          <c:dPt>
            <c:idx val="41"/>
            <c:invertIfNegative val="0"/>
            <c:bubble3D val="0"/>
            <c:spPr>
              <a:gradFill rotWithShape="1">
                <a:gsLst>
                  <a:gs pos="0">
                    <a:schemeClr val="accent6">
                      <a:lumMod val="70000"/>
                      <a:lumOff val="30000"/>
                      <a:shade val="51000"/>
                      <a:satMod val="130000"/>
                    </a:schemeClr>
                  </a:gs>
                  <a:gs pos="80000">
                    <a:schemeClr val="accent6">
                      <a:lumMod val="70000"/>
                      <a:lumOff val="30000"/>
                      <a:shade val="93000"/>
                      <a:satMod val="130000"/>
                    </a:schemeClr>
                  </a:gs>
                  <a:gs pos="100000">
                    <a:schemeClr val="accent6">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3-376D-4C8E-B5FB-C75286CBAA04}"/>
              </c:ext>
            </c:extLst>
          </c:dPt>
          <c:dPt>
            <c:idx val="42"/>
            <c:invertIfNegative val="0"/>
            <c:bubble3D val="0"/>
            <c:spPr>
              <a:gradFill rotWithShape="1">
                <a:gsLst>
                  <a:gs pos="0">
                    <a:schemeClr val="accent1">
                      <a:lumMod val="70000"/>
                      <a:shade val="51000"/>
                      <a:satMod val="130000"/>
                    </a:schemeClr>
                  </a:gs>
                  <a:gs pos="80000">
                    <a:schemeClr val="accent1">
                      <a:lumMod val="70000"/>
                      <a:shade val="93000"/>
                      <a:satMod val="130000"/>
                    </a:schemeClr>
                  </a:gs>
                  <a:gs pos="100000">
                    <a:schemeClr val="accent1">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5-376D-4C8E-B5FB-C75286CBAA04}"/>
              </c:ext>
            </c:extLst>
          </c:dPt>
          <c:dPt>
            <c:idx val="43"/>
            <c:invertIfNegative val="0"/>
            <c:bubble3D val="0"/>
            <c:spPr>
              <a:gradFill rotWithShape="1">
                <a:gsLst>
                  <a:gs pos="0">
                    <a:schemeClr val="accent2">
                      <a:lumMod val="70000"/>
                      <a:shade val="51000"/>
                      <a:satMod val="130000"/>
                    </a:schemeClr>
                  </a:gs>
                  <a:gs pos="80000">
                    <a:schemeClr val="accent2">
                      <a:lumMod val="70000"/>
                      <a:shade val="93000"/>
                      <a:satMod val="130000"/>
                    </a:schemeClr>
                  </a:gs>
                  <a:gs pos="100000">
                    <a:schemeClr val="accent2">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7-376D-4C8E-B5FB-C75286CBAA04}"/>
              </c:ext>
            </c:extLst>
          </c:dPt>
          <c:dPt>
            <c:idx val="44"/>
            <c:invertIfNegative val="0"/>
            <c:bubble3D val="0"/>
            <c:spPr>
              <a:gradFill rotWithShape="1">
                <a:gsLst>
                  <a:gs pos="0">
                    <a:schemeClr val="accent3">
                      <a:lumMod val="70000"/>
                      <a:shade val="51000"/>
                      <a:satMod val="130000"/>
                    </a:schemeClr>
                  </a:gs>
                  <a:gs pos="80000">
                    <a:schemeClr val="accent3">
                      <a:lumMod val="70000"/>
                      <a:shade val="93000"/>
                      <a:satMod val="130000"/>
                    </a:schemeClr>
                  </a:gs>
                  <a:gs pos="100000">
                    <a:schemeClr val="accent3">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9-376D-4C8E-B5FB-C75286CBAA04}"/>
              </c:ext>
            </c:extLst>
          </c:dPt>
          <c:dPt>
            <c:idx val="45"/>
            <c:invertIfNegative val="0"/>
            <c:bubble3D val="0"/>
            <c:spPr>
              <a:gradFill rotWithShape="1">
                <a:gsLst>
                  <a:gs pos="0">
                    <a:schemeClr val="accent4">
                      <a:lumMod val="70000"/>
                      <a:shade val="51000"/>
                      <a:satMod val="130000"/>
                    </a:schemeClr>
                  </a:gs>
                  <a:gs pos="80000">
                    <a:schemeClr val="accent4">
                      <a:lumMod val="70000"/>
                      <a:shade val="93000"/>
                      <a:satMod val="130000"/>
                    </a:schemeClr>
                  </a:gs>
                  <a:gs pos="100000">
                    <a:schemeClr val="accent4">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B-376D-4C8E-B5FB-C75286CBAA04}"/>
              </c:ext>
            </c:extLst>
          </c:dPt>
          <c:dPt>
            <c:idx val="46"/>
            <c:invertIfNegative val="0"/>
            <c:bubble3D val="0"/>
            <c:spPr>
              <a:gradFill rotWithShape="1">
                <a:gsLst>
                  <a:gs pos="0">
                    <a:schemeClr val="accent5">
                      <a:lumMod val="70000"/>
                      <a:shade val="51000"/>
                      <a:satMod val="130000"/>
                    </a:schemeClr>
                  </a:gs>
                  <a:gs pos="80000">
                    <a:schemeClr val="accent5">
                      <a:lumMod val="70000"/>
                      <a:shade val="93000"/>
                      <a:satMod val="130000"/>
                    </a:schemeClr>
                  </a:gs>
                  <a:gs pos="100000">
                    <a:schemeClr val="accent5">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D-376D-4C8E-B5FB-C75286CBAA04}"/>
              </c:ext>
            </c:extLst>
          </c:dPt>
          <c:dPt>
            <c:idx val="47"/>
            <c:invertIfNegative val="0"/>
            <c:bubble3D val="0"/>
            <c:spPr>
              <a:gradFill rotWithShape="1">
                <a:gsLst>
                  <a:gs pos="0">
                    <a:schemeClr val="accent6">
                      <a:lumMod val="70000"/>
                      <a:shade val="51000"/>
                      <a:satMod val="130000"/>
                    </a:schemeClr>
                  </a:gs>
                  <a:gs pos="80000">
                    <a:schemeClr val="accent6">
                      <a:lumMod val="70000"/>
                      <a:shade val="93000"/>
                      <a:satMod val="130000"/>
                    </a:schemeClr>
                  </a:gs>
                  <a:gs pos="100000">
                    <a:schemeClr val="accent6">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F-376D-4C8E-B5FB-C75286CBAA04}"/>
              </c:ext>
            </c:extLst>
          </c:dPt>
          <c:dPt>
            <c:idx val="48"/>
            <c:invertIfNegative val="0"/>
            <c:bubble3D val="0"/>
            <c:spPr>
              <a:gradFill rotWithShape="1">
                <a:gsLst>
                  <a:gs pos="0">
                    <a:schemeClr val="accent1">
                      <a:lumMod val="50000"/>
                      <a:lumOff val="50000"/>
                      <a:shade val="51000"/>
                      <a:satMod val="130000"/>
                    </a:schemeClr>
                  </a:gs>
                  <a:gs pos="80000">
                    <a:schemeClr val="accent1">
                      <a:lumMod val="50000"/>
                      <a:lumOff val="50000"/>
                      <a:shade val="93000"/>
                      <a:satMod val="130000"/>
                    </a:schemeClr>
                  </a:gs>
                  <a:gs pos="100000">
                    <a:schemeClr val="accent1">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1-6115-424D-90AC-23D34B3267B0}"/>
              </c:ext>
            </c:extLst>
          </c:dPt>
          <c:dPt>
            <c:idx val="49"/>
            <c:invertIfNegative val="0"/>
            <c:bubble3D val="0"/>
            <c:spPr>
              <a:gradFill rotWithShape="1">
                <a:gsLst>
                  <a:gs pos="0">
                    <a:schemeClr val="accent2">
                      <a:lumMod val="50000"/>
                      <a:lumOff val="50000"/>
                      <a:shade val="51000"/>
                      <a:satMod val="130000"/>
                    </a:schemeClr>
                  </a:gs>
                  <a:gs pos="80000">
                    <a:schemeClr val="accent2">
                      <a:lumMod val="50000"/>
                      <a:lumOff val="50000"/>
                      <a:shade val="93000"/>
                      <a:satMod val="130000"/>
                    </a:schemeClr>
                  </a:gs>
                  <a:gs pos="100000">
                    <a:schemeClr val="accent2">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3-465F-4F60-8A32-7904E21C2CD7}"/>
              </c:ext>
            </c:extLst>
          </c:dPt>
          <c:dPt>
            <c:idx val="50"/>
            <c:invertIfNegative val="0"/>
            <c:bubble3D val="0"/>
            <c:spPr>
              <a:gradFill rotWithShape="1">
                <a:gsLst>
                  <a:gs pos="0">
                    <a:schemeClr val="accent3">
                      <a:lumMod val="50000"/>
                      <a:lumOff val="50000"/>
                      <a:shade val="51000"/>
                      <a:satMod val="130000"/>
                    </a:schemeClr>
                  </a:gs>
                  <a:gs pos="80000">
                    <a:schemeClr val="accent3">
                      <a:lumMod val="50000"/>
                      <a:lumOff val="50000"/>
                      <a:shade val="93000"/>
                      <a:satMod val="130000"/>
                    </a:schemeClr>
                  </a:gs>
                  <a:gs pos="100000">
                    <a:schemeClr val="accent3">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5-465F-4F60-8A32-7904E21C2CD7}"/>
              </c:ext>
            </c:extLst>
          </c:dPt>
          <c:dPt>
            <c:idx val="51"/>
            <c:invertIfNegative val="0"/>
            <c:bubble3D val="0"/>
            <c:spPr>
              <a:gradFill rotWithShape="1">
                <a:gsLst>
                  <a:gs pos="0">
                    <a:schemeClr val="accent4">
                      <a:lumMod val="50000"/>
                      <a:lumOff val="50000"/>
                      <a:shade val="51000"/>
                      <a:satMod val="130000"/>
                    </a:schemeClr>
                  </a:gs>
                  <a:gs pos="80000">
                    <a:schemeClr val="accent4">
                      <a:lumMod val="50000"/>
                      <a:lumOff val="50000"/>
                      <a:shade val="93000"/>
                      <a:satMod val="130000"/>
                    </a:schemeClr>
                  </a:gs>
                  <a:gs pos="100000">
                    <a:schemeClr val="accent4">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7-802A-492A-86CF-04A2466DE4ED}"/>
              </c:ext>
            </c:extLst>
          </c:dPt>
          <c:dPt>
            <c:idx val="52"/>
            <c:invertIfNegative val="0"/>
            <c:bubble3D val="0"/>
            <c:spPr>
              <a:gradFill rotWithShape="1">
                <a:gsLst>
                  <a:gs pos="0">
                    <a:schemeClr val="accent5">
                      <a:lumMod val="50000"/>
                      <a:lumOff val="50000"/>
                      <a:shade val="51000"/>
                      <a:satMod val="130000"/>
                    </a:schemeClr>
                  </a:gs>
                  <a:gs pos="80000">
                    <a:schemeClr val="accent5">
                      <a:lumMod val="50000"/>
                      <a:lumOff val="50000"/>
                      <a:shade val="93000"/>
                      <a:satMod val="130000"/>
                    </a:schemeClr>
                  </a:gs>
                  <a:gs pos="100000">
                    <a:schemeClr val="accent5">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9-802A-492A-86CF-04A2466DE4ED}"/>
              </c:ext>
            </c:extLst>
          </c:dPt>
          <c:dPt>
            <c:idx val="53"/>
            <c:invertIfNegative val="0"/>
            <c:bubble3D val="0"/>
            <c:spPr>
              <a:gradFill rotWithShape="1">
                <a:gsLst>
                  <a:gs pos="0">
                    <a:schemeClr val="accent6">
                      <a:lumMod val="50000"/>
                      <a:lumOff val="50000"/>
                      <a:shade val="51000"/>
                      <a:satMod val="130000"/>
                    </a:schemeClr>
                  </a:gs>
                  <a:gs pos="80000">
                    <a:schemeClr val="accent6">
                      <a:lumMod val="50000"/>
                      <a:lumOff val="50000"/>
                      <a:shade val="93000"/>
                      <a:satMod val="130000"/>
                    </a:schemeClr>
                  </a:gs>
                  <a:gs pos="100000">
                    <a:schemeClr val="accent6">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B-2855-45D9-AA7E-2E1953A9FF53}"/>
              </c:ext>
            </c:extLst>
          </c:dPt>
          <c:dPt>
            <c:idx val="54"/>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D-2855-45D9-AA7E-2E1953A9FF53}"/>
              </c:ext>
            </c:extLst>
          </c:dPt>
          <c:dPt>
            <c:idx val="55"/>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F-2855-45D9-AA7E-2E1953A9FF53}"/>
              </c:ext>
            </c:extLst>
          </c:dPt>
          <c:cat>
            <c:strRef>
              <c:f>Results!$G$4:$G$57</c:f>
              <c:strCache>
                <c:ptCount val="54"/>
                <c:pt idx="0">
                  <c:v>Climbing: Climbing Wall/Tower</c:v>
                </c:pt>
                <c:pt idx="1">
                  <c:v>Western Lore: Roping</c:v>
                </c:pt>
                <c:pt idx="2">
                  <c:v>Climbing: Rock Climbing</c:v>
                </c:pt>
                <c:pt idx="3">
                  <c:v>Range Sports: Cowboy Action Shooting</c:v>
                </c:pt>
                <c:pt idx="4">
                  <c:v>Livestock: Horse Rides</c:v>
                </c:pt>
                <c:pt idx="5">
                  <c:v>Range Sports: Field Archery</c:v>
                </c:pt>
                <c:pt idx="6">
                  <c:v>Western Lore: Branding</c:v>
                </c:pt>
                <c:pt idx="7">
                  <c:v>Low Impact Camping</c:v>
                </c:pt>
                <c:pt idx="8">
                  <c:v>Climbing: Bouldering Gym</c:v>
                </c:pt>
                <c:pt idx="9">
                  <c:v>Livestock: Burro Packing</c:v>
                </c:pt>
                <c:pt idx="10">
                  <c:v>Range Sports: Atlatl Throwing</c:v>
                </c:pt>
                <c:pt idx="11">
                  <c:v>Livestock: Chicken Tending</c:v>
                </c:pt>
                <c:pt idx="12">
                  <c:v>Range Sports: Cartridge Reloading</c:v>
                </c:pt>
                <c:pt idx="13">
                  <c:v>STEM: Astronomy</c:v>
                </c:pt>
                <c:pt idx="14">
                  <c:v>Range Sports: Tomahawk Throwing</c:v>
                </c:pt>
                <c:pt idx="15">
                  <c:v>STEM: Archeology</c:v>
                </c:pt>
                <c:pt idx="16">
                  <c:v>Range Sports: Shotshell Reloading</c:v>
                </c:pt>
                <c:pt idx="17">
                  <c:v>Landmarks: Tooth of Time</c:v>
                </c:pt>
                <c:pt idx="18">
                  <c:v>Historical: Railroad Construction</c:v>
                </c:pt>
                <c:pt idx="19">
                  <c:v>Range Sports: 3D Archery</c:v>
                </c:pt>
                <c:pt idx="20">
                  <c:v>Range Sports: Muzzleloader Shooting</c:v>
                </c:pt>
                <c:pt idx="21">
                  <c:v>Landmarks: Mountaineering</c:v>
                </c:pt>
                <c:pt idx="22">
                  <c:v>Livestock: Animal Husbandry</c:v>
                </c:pt>
                <c:pt idx="23">
                  <c:v>Landmarks: Inspiration Point</c:v>
                </c:pt>
                <c:pt idx="24">
                  <c:v>COPE: Initiative Games</c:v>
                </c:pt>
                <c:pt idx="25">
                  <c:v>COPE: Low Challenge Course</c:v>
                </c:pt>
                <c:pt idx="26">
                  <c:v>Historical: Pump Car Rides</c:v>
                </c:pt>
                <c:pt idx="27">
                  <c:v>COPE: High Challenge Course</c:v>
                </c:pt>
                <c:pt idx="28">
                  <c:v>Historical: Fur Trapper Rendezvous</c:v>
                </c:pt>
                <c:pt idx="29">
                  <c:v>Landmarks: Mount Phillips</c:v>
                </c:pt>
                <c:pt idx="30">
                  <c:v>Range Sports: Aerial Archery</c:v>
                </c:pt>
                <c:pt idx="31">
                  <c:v>Range Sports: Rifle Shooting</c:v>
                </c:pt>
                <c:pt idx="32">
                  <c:v>Landmarks: Baldy Mountain</c:v>
                </c:pt>
                <c:pt idx="33">
                  <c:v>Historical: Crosscut &amp; Tie Making</c:v>
                </c:pt>
                <c:pt idx="34">
                  <c:v>Historical: Spar Pole Climbing</c:v>
                </c:pt>
                <c:pt idx="35">
                  <c:v>Range Sports: Shotgun Shooting</c:v>
                </c:pt>
                <c:pt idx="36">
                  <c:v>Western Lore: Cantina</c:v>
                </c:pt>
                <c:pt idx="37">
                  <c:v>Ecology: Self-Guided Fishing</c:v>
                </c:pt>
                <c:pt idx="38">
                  <c:v>Historical: Mine Tour</c:v>
                </c:pt>
                <c:pt idx="39">
                  <c:v>Ecology: Demonstration Forest</c:v>
                </c:pt>
                <c:pt idx="40">
                  <c:v>Historical: Cabin/House Tour</c:v>
                </c:pt>
                <c:pt idx="41">
                  <c:v>Historical: Cabin Restoration</c:v>
                </c:pt>
                <c:pt idx="42">
                  <c:v>Climbing: Crate Stacking</c:v>
                </c:pt>
                <c:pt idx="43">
                  <c:v>Historical: Blacksmithing</c:v>
                </c:pt>
                <c:pt idx="44">
                  <c:v>Historical: Gold Panning</c:v>
                </c:pt>
                <c:pt idx="45">
                  <c:v>Historical: Adobe Brick-Making</c:v>
                </c:pt>
                <c:pt idx="46">
                  <c:v>Evening: Chuckwagon Dinner</c:v>
                </c:pt>
                <c:pt idx="47">
                  <c:v>Evening: Campfire Show</c:v>
                </c:pt>
                <c:pt idx="48">
                  <c:v>Historical: Crafting</c:v>
                </c:pt>
                <c:pt idx="49">
                  <c:v>Historical: Petroglyph Tour</c:v>
                </c:pt>
                <c:pt idx="50">
                  <c:v>Historical: Flint Knapping</c:v>
                </c:pt>
                <c:pt idx="51">
                  <c:v>Evening: Advisor Coffee</c:v>
                </c:pt>
                <c:pt idx="52">
                  <c:v>Landmarks: Trail Peak</c:v>
                </c:pt>
                <c:pt idx="53">
                  <c:v>STEM: Geology</c:v>
                </c:pt>
              </c:strCache>
            </c:strRef>
          </c:cat>
          <c:val>
            <c:numRef>
              <c:f>Results!$H$4:$H$57</c:f>
              <c:numCache>
                <c:formatCode>0.0</c:formatCode>
                <c:ptCount val="54"/>
                <c:pt idx="0">
                  <c:v>225</c:v>
                </c:pt>
                <c:pt idx="1">
                  <c:v>190</c:v>
                </c:pt>
                <c:pt idx="2">
                  <c:v>188</c:v>
                </c:pt>
                <c:pt idx="3">
                  <c:v>170</c:v>
                </c:pt>
                <c:pt idx="4">
                  <c:v>170</c:v>
                </c:pt>
                <c:pt idx="5">
                  <c:v>157</c:v>
                </c:pt>
                <c:pt idx="6">
                  <c:v>157</c:v>
                </c:pt>
                <c:pt idx="7">
                  <c:v>157</c:v>
                </c:pt>
                <c:pt idx="8">
                  <c:v>152</c:v>
                </c:pt>
                <c:pt idx="9">
                  <c:v>147</c:v>
                </c:pt>
                <c:pt idx="10">
                  <c:v>147</c:v>
                </c:pt>
                <c:pt idx="11">
                  <c:v>140</c:v>
                </c:pt>
                <c:pt idx="12">
                  <c:v>140</c:v>
                </c:pt>
                <c:pt idx="13">
                  <c:v>138</c:v>
                </c:pt>
                <c:pt idx="14">
                  <c:v>138</c:v>
                </c:pt>
                <c:pt idx="15">
                  <c:v>138</c:v>
                </c:pt>
                <c:pt idx="16">
                  <c:v>135</c:v>
                </c:pt>
                <c:pt idx="17">
                  <c:v>135</c:v>
                </c:pt>
                <c:pt idx="18">
                  <c:v>134</c:v>
                </c:pt>
                <c:pt idx="19">
                  <c:v>129</c:v>
                </c:pt>
                <c:pt idx="20">
                  <c:v>129</c:v>
                </c:pt>
                <c:pt idx="21">
                  <c:v>126</c:v>
                </c:pt>
                <c:pt idx="22">
                  <c:v>121</c:v>
                </c:pt>
                <c:pt idx="23">
                  <c:v>117</c:v>
                </c:pt>
                <c:pt idx="24">
                  <c:v>111</c:v>
                </c:pt>
                <c:pt idx="25">
                  <c:v>111</c:v>
                </c:pt>
                <c:pt idx="26">
                  <c:v>108</c:v>
                </c:pt>
                <c:pt idx="27">
                  <c:v>108</c:v>
                </c:pt>
                <c:pt idx="28">
                  <c:v>104</c:v>
                </c:pt>
                <c:pt idx="29">
                  <c:v>103</c:v>
                </c:pt>
                <c:pt idx="30">
                  <c:v>101</c:v>
                </c:pt>
                <c:pt idx="31">
                  <c:v>101</c:v>
                </c:pt>
                <c:pt idx="32">
                  <c:v>100</c:v>
                </c:pt>
                <c:pt idx="33">
                  <c:v>97</c:v>
                </c:pt>
                <c:pt idx="34">
                  <c:v>97</c:v>
                </c:pt>
                <c:pt idx="35">
                  <c:v>91</c:v>
                </c:pt>
                <c:pt idx="36">
                  <c:v>89</c:v>
                </c:pt>
                <c:pt idx="37">
                  <c:v>87</c:v>
                </c:pt>
                <c:pt idx="38">
                  <c:v>86</c:v>
                </c:pt>
                <c:pt idx="39">
                  <c:v>84</c:v>
                </c:pt>
                <c:pt idx="40">
                  <c:v>84</c:v>
                </c:pt>
                <c:pt idx="41">
                  <c:v>82</c:v>
                </c:pt>
                <c:pt idx="42">
                  <c:v>76</c:v>
                </c:pt>
                <c:pt idx="43">
                  <c:v>76</c:v>
                </c:pt>
                <c:pt idx="44">
                  <c:v>76</c:v>
                </c:pt>
                <c:pt idx="45">
                  <c:v>74</c:v>
                </c:pt>
                <c:pt idx="46">
                  <c:v>73</c:v>
                </c:pt>
                <c:pt idx="47">
                  <c:v>73</c:v>
                </c:pt>
                <c:pt idx="48">
                  <c:v>71</c:v>
                </c:pt>
                <c:pt idx="49">
                  <c:v>69</c:v>
                </c:pt>
                <c:pt idx="50">
                  <c:v>62</c:v>
                </c:pt>
                <c:pt idx="51">
                  <c:v>61</c:v>
                </c:pt>
                <c:pt idx="52">
                  <c:v>61</c:v>
                </c:pt>
                <c:pt idx="53">
                  <c:v>61</c:v>
                </c:pt>
              </c:numCache>
            </c:numRef>
          </c:val>
          <c:extLst>
            <c:ext xmlns:c16="http://schemas.microsoft.com/office/drawing/2014/chart" uri="{C3380CC4-5D6E-409C-BE32-E72D297353CC}">
              <c16:uniqueId val="{00000060-376D-4C8E-B5FB-C75286CBAA04}"/>
            </c:ext>
          </c:extLst>
        </c:ser>
        <c:dLbls>
          <c:showLegendKey val="0"/>
          <c:showVal val="0"/>
          <c:showCatName val="0"/>
          <c:showSerName val="0"/>
          <c:showPercent val="0"/>
          <c:showBubbleSize val="0"/>
        </c:dLbls>
        <c:gapWidth val="100"/>
        <c:axId val="354816328"/>
        <c:axId val="356889784"/>
      </c:barChart>
      <c:catAx>
        <c:axId val="354816328"/>
        <c:scaling>
          <c:orientation val="maxMin"/>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356889784"/>
        <c:crosses val="autoZero"/>
        <c:auto val="0"/>
        <c:lblAlgn val="ctr"/>
        <c:lblOffset val="100"/>
        <c:tickLblSkip val="1"/>
        <c:tickMarkSkip val="1"/>
        <c:noMultiLvlLbl val="0"/>
      </c:catAx>
      <c:valAx>
        <c:axId val="356889784"/>
        <c:scaling>
          <c:orientation val="minMax"/>
          <c:max val="235"/>
          <c:min val="51"/>
        </c:scaling>
        <c:delete val="0"/>
        <c:axPos val="t"/>
        <c:majorGridlines>
          <c:spPr>
            <a:ln w="9525" cap="flat" cmpd="sng" algn="ctr">
              <a:solidFill>
                <a:schemeClr val="tx2">
                  <a:lumMod val="15000"/>
                  <a:lumOff val="85000"/>
                </a:schemeClr>
              </a:solidFill>
              <a:round/>
            </a:ln>
            <a:effectLst/>
          </c:spPr>
        </c:majorGridlines>
        <c:numFmt formatCode="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354816328"/>
        <c:crosses val="autoZero"/>
        <c:crossBetween val="between"/>
      </c:valAx>
      <c:spPr>
        <a:noFill/>
        <a:ln>
          <a:noFill/>
        </a:ln>
        <a:effectLst/>
      </c:spPr>
    </c:plotArea>
    <c:plotVisOnly val="0"/>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Campsite Elevations</a:t>
            </a:r>
          </a:p>
        </c:rich>
      </c:tx>
      <c:layout>
        <c:manualLayout>
          <c:xMode val="edge"/>
          <c:yMode val="edge"/>
          <c:x val="0.36051297898044093"/>
          <c:y val="0.12310443980142159"/>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0"/>
    </c:view3D>
    <c:floor>
      <c:thickness val="0"/>
      <c:spPr>
        <a:solidFill>
          <a:schemeClr val="bg2">
            <a:lumMod val="50000"/>
          </a:schemeClr>
        </a:solid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solidFill>
          <a:schemeClr val="bg2">
            <a:lumMod val="75000"/>
          </a:schemeClr>
        </a:solidFill>
        <a:ln>
          <a:solidFill>
            <a:schemeClr val="bg2">
              <a:lumMod val="75000"/>
            </a:schemeClr>
          </a:solidFill>
        </a:ln>
        <a:effectLst/>
        <a:sp3d>
          <a:contourClr>
            <a:schemeClr val="bg2">
              <a:lumMod val="75000"/>
            </a:schemeClr>
          </a:contourClr>
        </a:sp3d>
      </c:spPr>
    </c:sideWall>
    <c:backWall>
      <c:thickness val="0"/>
      <c:spPr>
        <a:solidFill>
          <a:schemeClr val="bg2">
            <a:lumMod val="75000"/>
          </a:schemeClr>
        </a:solidFill>
        <a:ln>
          <a:solidFill>
            <a:schemeClr val="bg2">
              <a:lumMod val="75000"/>
            </a:schemeClr>
          </a:solidFill>
        </a:ln>
        <a:effectLst/>
        <a:sp3d>
          <a:contourClr>
            <a:schemeClr val="bg2">
              <a:lumMod val="75000"/>
            </a:schemeClr>
          </a:contourClr>
        </a:sp3d>
      </c:spPr>
    </c:backWall>
    <c:plotArea>
      <c:layout>
        <c:manualLayout>
          <c:layoutTarget val="inner"/>
          <c:xMode val="edge"/>
          <c:yMode val="edge"/>
          <c:x val="0.14833237082062012"/>
          <c:y val="1.2450191647814234E-2"/>
          <c:w val="0.80592917563942768"/>
          <c:h val="0.89128772159975722"/>
        </c:manualLayout>
      </c:layout>
      <c:area3DChart>
        <c:grouping val="standard"/>
        <c:varyColors val="0"/>
        <c:ser>
          <c:idx val="0"/>
          <c:order val="0"/>
          <c:spPr>
            <a:solidFill>
              <a:schemeClr val="accent3">
                <a:lumMod val="50000"/>
              </a:schemeClr>
            </a:solidFill>
            <a:ln>
              <a:noFill/>
            </a:ln>
            <a:effectLst/>
            <a:sp3d/>
          </c:spPr>
          <c:cat>
            <c:strRef>
              <c:f>'Itinerary Details'!$AB$16:$AB$24</c:f>
              <c:strCache>
                <c:ptCount val="9"/>
                <c:pt idx="0">
                  <c:v>Camping HQ</c:v>
                </c:pt>
                <c:pt idx="1">
                  <c:v>Abreu</c:v>
                </c:pt>
                <c:pt idx="2">
                  <c:v>Lower Bonito</c:v>
                </c:pt>
                <c:pt idx="3">
                  <c:v>Beaubien</c:v>
                </c:pt>
                <c:pt idx="4">
                  <c:v>Black Mountain</c:v>
                </c:pt>
                <c:pt idx="5">
                  <c:v>Miners Park</c:v>
                </c:pt>
                <c:pt idx="6">
                  <c:v>Bear Caves</c:v>
                </c:pt>
                <c:pt idx="7">
                  <c:v>Urraca</c:v>
                </c:pt>
                <c:pt idx="8">
                  <c:v>Camping HQ</c:v>
                </c:pt>
              </c:strCache>
            </c:strRef>
          </c:cat>
          <c:val>
            <c:numRef>
              <c:f>'Itinerary Details'!$X$16:$X$24</c:f>
              <c:numCache>
                <c:formatCode>General</c:formatCode>
                <c:ptCount val="9"/>
                <c:pt idx="0">
                  <c:v>6696</c:v>
                </c:pt>
                <c:pt idx="1">
                  <c:v>7217</c:v>
                </c:pt>
                <c:pt idx="2">
                  <c:v>8962</c:v>
                </c:pt>
                <c:pt idx="3">
                  <c:v>9330</c:v>
                </c:pt>
                <c:pt idx="4">
                  <c:v>8991</c:v>
                </c:pt>
                <c:pt idx="5">
                  <c:v>7977</c:v>
                </c:pt>
                <c:pt idx="6">
                  <c:v>8423</c:v>
                </c:pt>
                <c:pt idx="7">
                  <c:v>7968</c:v>
                </c:pt>
                <c:pt idx="8">
                  <c:v>6696</c:v>
                </c:pt>
              </c:numCache>
            </c:numRef>
          </c:val>
          <c:extLst>
            <c:ext xmlns:c16="http://schemas.microsoft.com/office/drawing/2014/chart" uri="{C3380CC4-5D6E-409C-BE32-E72D297353CC}">
              <c16:uniqueId val="{00000000-2AD5-4835-B262-7170F805CA94}"/>
            </c:ext>
          </c:extLst>
        </c:ser>
        <c:dLbls>
          <c:showLegendKey val="0"/>
          <c:showVal val="0"/>
          <c:showCatName val="0"/>
          <c:showSerName val="0"/>
          <c:showPercent val="0"/>
          <c:showBubbleSize val="0"/>
        </c:dLbls>
        <c:axId val="355076608"/>
        <c:axId val="385636464"/>
        <c:axId val="355131776"/>
      </c:area3DChart>
      <c:catAx>
        <c:axId val="355076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lgn="ctr">
              <a:defRPr lang="en-US" sz="910" b="1" i="0" u="none" strike="noStrike" kern="1200" baseline="0">
                <a:solidFill>
                  <a:schemeClr val="tx1"/>
                </a:solidFill>
                <a:latin typeface="+mn-lt"/>
                <a:ea typeface="Arial"/>
                <a:cs typeface="Arial"/>
              </a:defRPr>
            </a:pPr>
            <a:endParaRPr lang="en-US"/>
          </a:p>
        </c:txPr>
        <c:crossAx val="385636464"/>
        <c:crosses val="autoZero"/>
        <c:auto val="1"/>
        <c:lblAlgn val="ctr"/>
        <c:lblOffset val="100"/>
        <c:noMultiLvlLbl val="0"/>
      </c:catAx>
      <c:valAx>
        <c:axId val="385636464"/>
        <c:scaling>
          <c:orientation val="minMax"/>
          <c:max val="11500"/>
          <c:min val="65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55076608"/>
        <c:crosses val="autoZero"/>
        <c:crossBetween val="midCat"/>
      </c:valAx>
      <c:serAx>
        <c:axId val="355131776"/>
        <c:scaling>
          <c:orientation val="minMax"/>
        </c:scaling>
        <c:delete val="1"/>
        <c:axPos val="b"/>
        <c:majorTickMark val="out"/>
        <c:minorTickMark val="none"/>
        <c:tickLblPos val="nextTo"/>
        <c:crossAx val="385636464"/>
        <c:crosses val="autoZero"/>
      </c:serAx>
      <c:spPr>
        <a:noFill/>
        <a:ln>
          <a:noFill/>
        </a:ln>
        <a:effectLst/>
      </c:spPr>
    </c:plotArea>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landscape" horizontalDpi="-1" verticalDpi="-1"/>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Elevation Change by Day of Trek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solidFill>
          <a:schemeClr val="bg2">
            <a:lumMod val="75000"/>
          </a:schemeClr>
        </a:solidFill>
        <a:ln>
          <a:noFill/>
        </a:ln>
        <a:effectLst/>
        <a:sp3d/>
      </c:spPr>
    </c:sideWall>
    <c:backWall>
      <c:thickness val="0"/>
      <c:spPr>
        <a:solidFill>
          <a:schemeClr val="bg2">
            <a:lumMod val="90000"/>
          </a:schemeClr>
        </a:solidFill>
        <a:ln>
          <a:noFill/>
        </a:ln>
        <a:effectLst/>
        <a:sp3d/>
      </c:spPr>
    </c:backWall>
    <c:plotArea>
      <c:layout/>
      <c:bar3DChart>
        <c:barDir val="col"/>
        <c:grouping val="clustered"/>
        <c:varyColors val="0"/>
        <c:ser>
          <c:idx val="0"/>
          <c:order val="0"/>
          <c:tx>
            <c:v>Elevation Change</c:v>
          </c:tx>
          <c:spPr>
            <a:solidFill>
              <a:schemeClr val="accent3">
                <a:lumMod val="50000"/>
              </a:schemeClr>
            </a:solidFill>
            <a:ln>
              <a:noFill/>
            </a:ln>
            <a:effectLst/>
            <a:sp3d/>
          </c:spPr>
          <c:invertIfNegative val="0"/>
          <c:val>
            <c:numRef>
              <c:f>'Itinerary Details'!$Y$16:$Y$24</c:f>
              <c:numCache>
                <c:formatCode>General</c:formatCode>
                <c:ptCount val="9"/>
                <c:pt idx="0">
                  <c:v>0</c:v>
                </c:pt>
                <c:pt idx="1">
                  <c:v>521</c:v>
                </c:pt>
                <c:pt idx="2">
                  <c:v>1745</c:v>
                </c:pt>
                <c:pt idx="3">
                  <c:v>368</c:v>
                </c:pt>
                <c:pt idx="4">
                  <c:v>-339</c:v>
                </c:pt>
                <c:pt idx="5">
                  <c:v>-1014</c:v>
                </c:pt>
                <c:pt idx="6">
                  <c:v>446</c:v>
                </c:pt>
                <c:pt idx="7">
                  <c:v>-455</c:v>
                </c:pt>
                <c:pt idx="8">
                  <c:v>-1272</c:v>
                </c:pt>
              </c:numCache>
            </c:numRef>
          </c:val>
          <c:extLst>
            <c:ext xmlns:c16="http://schemas.microsoft.com/office/drawing/2014/chart" uri="{C3380CC4-5D6E-409C-BE32-E72D297353CC}">
              <c16:uniqueId val="{00000000-B506-458E-A9E2-D61E04216F39}"/>
            </c:ext>
          </c:extLst>
        </c:ser>
        <c:dLbls>
          <c:showLegendKey val="0"/>
          <c:showVal val="0"/>
          <c:showCatName val="0"/>
          <c:showSerName val="0"/>
          <c:showPercent val="0"/>
          <c:showBubbleSize val="0"/>
        </c:dLbls>
        <c:gapWidth val="175"/>
        <c:gapDepth val="175"/>
        <c:shape val="box"/>
        <c:axId val="386382408"/>
        <c:axId val="386383976"/>
        <c:axId val="0"/>
      </c:bar3DChart>
      <c:catAx>
        <c:axId val="38638240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386383976"/>
        <c:crosses val="autoZero"/>
        <c:auto val="1"/>
        <c:lblAlgn val="ctr"/>
        <c:lblOffset val="100"/>
        <c:noMultiLvlLbl val="0"/>
      </c:catAx>
      <c:valAx>
        <c:axId val="386383976"/>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824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Skill Level to DIfficulty of Trek</a:t>
            </a:r>
          </a:p>
        </c:rich>
      </c:tx>
      <c:layout>
        <c:manualLayout>
          <c:xMode val="edge"/>
          <c:yMode val="edge"/>
          <c:x val="0.35790886386830728"/>
          <c:y val="4.0816084992028517E-2"/>
        </c:manualLayout>
      </c:layout>
      <c:overlay val="0"/>
      <c:spPr>
        <a:noFill/>
        <a:ln w="25400">
          <a:noFill/>
        </a:ln>
      </c:spPr>
    </c:title>
    <c:autoTitleDeleted val="0"/>
    <c:plotArea>
      <c:layout>
        <c:manualLayout>
          <c:layoutTarget val="inner"/>
          <c:xMode val="edge"/>
          <c:yMode val="edge"/>
          <c:x val="9.9195710455764072E-2"/>
          <c:y val="0.13682145617983676"/>
          <c:w val="0.79490616621983912"/>
          <c:h val="0.71029265889982685"/>
        </c:manualLayout>
      </c:layout>
      <c:lineChart>
        <c:grouping val="standard"/>
        <c:varyColors val="0"/>
        <c:ser>
          <c:idx val="1"/>
          <c:order val="0"/>
          <c:tx>
            <c:strRef>
              <c:f>Tables!$L$108</c:f>
              <c:strCache>
                <c:ptCount val="1"/>
                <c:pt idx="0">
                  <c:v>C</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Tables!$L$109:$L$118</c:f>
              <c:numCache>
                <c:formatCode>#,##0</c:formatCode>
                <c:ptCount val="10"/>
                <c:pt idx="0">
                  <c:v>5000</c:v>
                </c:pt>
                <c:pt idx="1">
                  <c:v>4500</c:v>
                </c:pt>
                <c:pt idx="2">
                  <c:v>4000</c:v>
                </c:pt>
                <c:pt idx="3">
                  <c:v>3500</c:v>
                </c:pt>
                <c:pt idx="4">
                  <c:v>3000</c:v>
                </c:pt>
                <c:pt idx="5">
                  <c:v>2500</c:v>
                </c:pt>
                <c:pt idx="6">
                  <c:v>2000</c:v>
                </c:pt>
                <c:pt idx="7">
                  <c:v>1500</c:v>
                </c:pt>
                <c:pt idx="8">
                  <c:v>1000</c:v>
                </c:pt>
                <c:pt idx="9">
                  <c:v>500</c:v>
                </c:pt>
              </c:numCache>
            </c:numRef>
          </c:val>
          <c:smooth val="0"/>
          <c:extLst>
            <c:ext xmlns:c16="http://schemas.microsoft.com/office/drawing/2014/chart" uri="{C3380CC4-5D6E-409C-BE32-E72D297353CC}">
              <c16:uniqueId val="{00000000-92EE-48A9-8C6E-F28D26731EFE}"/>
            </c:ext>
          </c:extLst>
        </c:ser>
        <c:ser>
          <c:idx val="2"/>
          <c:order val="1"/>
          <c:tx>
            <c:strRef>
              <c:f>Tables!$M$108</c:f>
              <c:strCache>
                <c:ptCount val="1"/>
                <c:pt idx="0">
                  <c:v>R</c:v>
                </c:pt>
              </c:strCache>
            </c:strRef>
          </c:tx>
          <c:spPr>
            <a:ln w="12700">
              <a:solidFill>
                <a:srgbClr val="993300"/>
              </a:solidFill>
              <a:prstDash val="solid"/>
            </a:ln>
          </c:spPr>
          <c:marker>
            <c:symbol val="square"/>
            <c:size val="4"/>
            <c:spPr>
              <a:noFill/>
              <a:ln w="9525">
                <a:noFill/>
              </a:ln>
            </c:spPr>
          </c:marker>
          <c:val>
            <c:numRef>
              <c:f>Tables!$M$109:$M$118</c:f>
              <c:numCache>
                <c:formatCode>#,##0</c:formatCode>
                <c:ptCount val="10"/>
                <c:pt idx="0">
                  <c:v>3500</c:v>
                </c:pt>
                <c:pt idx="1">
                  <c:v>3333.333333333333</c:v>
                </c:pt>
                <c:pt idx="2">
                  <c:v>3166.6666666666665</c:v>
                </c:pt>
                <c:pt idx="3">
                  <c:v>3000</c:v>
                </c:pt>
                <c:pt idx="4">
                  <c:v>2833.3333333333335</c:v>
                </c:pt>
                <c:pt idx="5">
                  <c:v>2666.6666666666665</c:v>
                </c:pt>
                <c:pt idx="6">
                  <c:v>2500</c:v>
                </c:pt>
                <c:pt idx="7">
                  <c:v>2333.3333333333335</c:v>
                </c:pt>
                <c:pt idx="8">
                  <c:v>2166.666666666667</c:v>
                </c:pt>
                <c:pt idx="9">
                  <c:v>2000</c:v>
                </c:pt>
              </c:numCache>
            </c:numRef>
          </c:val>
          <c:smooth val="0"/>
          <c:extLst>
            <c:ext xmlns:c16="http://schemas.microsoft.com/office/drawing/2014/chart" uri="{C3380CC4-5D6E-409C-BE32-E72D297353CC}">
              <c16:uniqueId val="{00000001-92EE-48A9-8C6E-F28D26731EFE}"/>
            </c:ext>
          </c:extLst>
        </c:ser>
        <c:ser>
          <c:idx val="3"/>
          <c:order val="2"/>
          <c:tx>
            <c:strRef>
              <c:f>Tables!$N$108</c:f>
              <c:strCache>
                <c:ptCount val="1"/>
                <c:pt idx="0">
                  <c:v>S</c:v>
                </c:pt>
              </c:strCache>
            </c:strRef>
          </c:tx>
          <c:spPr>
            <a:ln w="12700">
              <a:solidFill>
                <a:srgbClr val="FF6600"/>
              </a:solidFill>
              <a:prstDash val="solid"/>
            </a:ln>
          </c:spPr>
          <c:marker>
            <c:symbol val="square"/>
            <c:size val="4"/>
            <c:spPr>
              <a:noFill/>
              <a:ln w="9525">
                <a:noFill/>
              </a:ln>
            </c:spPr>
          </c:marker>
          <c:val>
            <c:numRef>
              <c:f>Tables!$N$109:$N$118</c:f>
              <c:numCache>
                <c:formatCode>#,##0</c:formatCode>
                <c:ptCount val="10"/>
                <c:pt idx="0">
                  <c:v>2000</c:v>
                </c:pt>
                <c:pt idx="1">
                  <c:v>2166.6666666666661</c:v>
                </c:pt>
                <c:pt idx="2">
                  <c:v>2333.333333333333</c:v>
                </c:pt>
                <c:pt idx="3">
                  <c:v>2500</c:v>
                </c:pt>
                <c:pt idx="4">
                  <c:v>2666.666666666667</c:v>
                </c:pt>
                <c:pt idx="5">
                  <c:v>2833.333333333333</c:v>
                </c:pt>
                <c:pt idx="6">
                  <c:v>3000</c:v>
                </c:pt>
                <c:pt idx="7">
                  <c:v>3166.666666666667</c:v>
                </c:pt>
                <c:pt idx="8">
                  <c:v>3333.3333333333339</c:v>
                </c:pt>
                <c:pt idx="9">
                  <c:v>3500</c:v>
                </c:pt>
              </c:numCache>
            </c:numRef>
          </c:val>
          <c:smooth val="0"/>
          <c:extLst>
            <c:ext xmlns:c16="http://schemas.microsoft.com/office/drawing/2014/chart" uri="{C3380CC4-5D6E-409C-BE32-E72D297353CC}">
              <c16:uniqueId val="{00000002-92EE-48A9-8C6E-F28D26731EFE}"/>
            </c:ext>
          </c:extLst>
        </c:ser>
        <c:ser>
          <c:idx val="4"/>
          <c:order val="3"/>
          <c:tx>
            <c:strRef>
              <c:f>Tables!$O$108</c:f>
              <c:strCache>
                <c:ptCount val="1"/>
                <c:pt idx="0">
                  <c:v>SS</c:v>
                </c:pt>
              </c:strCache>
            </c:strRef>
          </c:tx>
          <c:spPr>
            <a:ln w="12700">
              <a:solidFill>
                <a:srgbClr val="800080"/>
              </a:solidFill>
              <a:prstDash val="solid"/>
            </a:ln>
          </c:spPr>
          <c:marker>
            <c:symbol val="star"/>
            <c:size val="5"/>
            <c:spPr>
              <a:noFill/>
              <a:ln>
                <a:solidFill>
                  <a:srgbClr val="800080"/>
                </a:solidFill>
                <a:prstDash val="solid"/>
              </a:ln>
            </c:spPr>
          </c:marker>
          <c:val>
            <c:numRef>
              <c:f>Tables!$O$109:$O$118</c:f>
              <c:numCache>
                <c:formatCode>#,##0</c:formatCode>
                <c:ptCount val="10"/>
                <c:pt idx="0">
                  <c:v>500</c:v>
                </c:pt>
                <c:pt idx="1">
                  <c:v>1000</c:v>
                </c:pt>
                <c:pt idx="2">
                  <c:v>1500</c:v>
                </c:pt>
                <c:pt idx="3">
                  <c:v>2000</c:v>
                </c:pt>
                <c:pt idx="4">
                  <c:v>2500</c:v>
                </c:pt>
                <c:pt idx="5">
                  <c:v>3000</c:v>
                </c:pt>
                <c:pt idx="6">
                  <c:v>3500</c:v>
                </c:pt>
                <c:pt idx="7">
                  <c:v>4000</c:v>
                </c:pt>
                <c:pt idx="8">
                  <c:v>4500</c:v>
                </c:pt>
                <c:pt idx="9">
                  <c:v>5000</c:v>
                </c:pt>
              </c:numCache>
            </c:numRef>
          </c:val>
          <c:smooth val="0"/>
          <c:extLst>
            <c:ext xmlns:c16="http://schemas.microsoft.com/office/drawing/2014/chart" uri="{C3380CC4-5D6E-409C-BE32-E72D297353CC}">
              <c16:uniqueId val="{00000003-92EE-48A9-8C6E-F28D26731EFE}"/>
            </c:ext>
          </c:extLst>
        </c:ser>
        <c:dLbls>
          <c:showLegendKey val="0"/>
          <c:showVal val="0"/>
          <c:showCatName val="0"/>
          <c:showSerName val="0"/>
          <c:showPercent val="0"/>
          <c:showBubbleSize val="0"/>
        </c:dLbls>
        <c:marker val="1"/>
        <c:smooth val="0"/>
        <c:axId val="386384368"/>
        <c:axId val="386380840"/>
      </c:lineChart>
      <c:catAx>
        <c:axId val="386384368"/>
        <c:scaling>
          <c:orientation val="minMax"/>
        </c:scaling>
        <c:delete val="0"/>
        <c:axPos val="b"/>
        <c:majorGridlines>
          <c:spPr>
            <a:ln w="3175">
              <a:solidFill>
                <a:srgbClr val="000000"/>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Crew Skill</a:t>
                </a:r>
              </a:p>
            </c:rich>
          </c:tx>
          <c:layout>
            <c:manualLayout>
              <c:xMode val="edge"/>
              <c:yMode val="edge"/>
              <c:x val="0.45576404503704693"/>
              <c:y val="0.926909849133579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386380840"/>
        <c:crosses val="autoZero"/>
        <c:auto val="1"/>
        <c:lblAlgn val="ctr"/>
        <c:lblOffset val="100"/>
        <c:tickLblSkip val="1"/>
        <c:tickMarkSkip val="1"/>
        <c:noMultiLvlLbl val="0"/>
      </c:catAx>
      <c:valAx>
        <c:axId val="386380840"/>
        <c:scaling>
          <c:orientation val="minMax"/>
        </c:scaling>
        <c:delete val="0"/>
        <c:axPos val="l"/>
        <c:majorGridlines>
          <c:spPr>
            <a:ln w="3175">
              <a:solidFill>
                <a:srgbClr val="000000"/>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Value Assigned</a:t>
                </a:r>
              </a:p>
            </c:rich>
          </c:tx>
          <c:layout>
            <c:manualLayout>
              <c:xMode val="edge"/>
              <c:yMode val="edge"/>
              <c:x val="2.1447773454029522E-2"/>
              <c:y val="0.306122377938831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386384368"/>
        <c:crosses val="autoZero"/>
        <c:crossBetween val="midCat"/>
      </c:valAx>
      <c:spPr>
        <a:noFill/>
        <a:ln w="25400">
          <a:noFill/>
        </a:ln>
      </c:spPr>
    </c:plotArea>
    <c:legend>
      <c:legendPos val="r"/>
      <c:layout>
        <c:manualLayout>
          <c:xMode val="edge"/>
          <c:yMode val="edge"/>
          <c:x val="0.92225201072386054"/>
          <c:y val="0.33904166283454429"/>
          <c:w val="6.8364611260053623E-2"/>
          <c:h val="0.30479503022499438"/>
        </c:manualLayout>
      </c:layout>
      <c:overlay val="0"/>
      <c:spPr>
        <a:solidFill>
          <a:srgbClr val="FFFFFF"/>
        </a:solidFill>
        <a:ln w="3175">
          <a:solidFill>
            <a:srgbClr val="000000"/>
          </a:solidFill>
          <a:prstDash val="solid"/>
        </a:ln>
      </c:spPr>
      <c:txPr>
        <a:bodyPr/>
        <a:lstStyle/>
        <a:p>
          <a:pPr>
            <a:defRPr sz="69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300" verticalDpi="30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1">
    <tabColor theme="4" tint="-0.249977111117893"/>
  </sheetPr>
  <sheetViews>
    <sheetView zoomScale="122" workbookViewId="0" zoomToFit="1"/>
  </sheetViews>
  <sheetProtection content="1" objects="1"/>
  <pageMargins left="0.7" right="0.7" top="0.49" bottom="0.32" header="0.3" footer="0.3"/>
  <pageSetup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6">
    <tabColor indexed="48"/>
  </sheetPr>
  <sheetViews>
    <sheetView zoomScale="80" workbookViewId="0"/>
  </sheetViews>
  <sheetProtection content="1" objects="1"/>
  <pageMargins left="0.48" right="0.51" top="0.17" bottom="0.46" header="0.28999999999999998" footer="0.27"/>
  <pageSetup orientation="portrait" horizontalDpi="4294967295" verticalDpi="4294967295" r:id="rId1"/>
  <headerFooter alignWithMargins="0">
    <oddFooter>&amp;L&amp;8&amp;F!&amp;A&amp;R&amp;8&amp;D &amp;T</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57896</xdr:colOff>
      <xdr:row>1</xdr:row>
      <xdr:rowOff>212911</xdr:rowOff>
    </xdr:from>
    <xdr:to>
      <xdr:col>17</xdr:col>
      <xdr:colOff>0</xdr:colOff>
      <xdr:row>3</xdr:row>
      <xdr:rowOff>11906</xdr:rowOff>
    </xdr:to>
    <xdr:sp macro="" textlink="">
      <xdr:nvSpPr>
        <xdr:cNvPr id="7170" name="Text Box 2">
          <a:extLst>
            <a:ext uri="{FF2B5EF4-FFF2-40B4-BE49-F238E27FC236}">
              <a16:creationId xmlns:a16="http://schemas.microsoft.com/office/drawing/2014/main" id="{00000000-0008-0000-0000-0000021C0000}"/>
            </a:ext>
          </a:extLst>
        </xdr:cNvPr>
        <xdr:cNvSpPr txBox="1">
          <a:spLocks noChangeArrowheads="1"/>
        </xdr:cNvSpPr>
      </xdr:nvSpPr>
      <xdr:spPr bwMode="auto">
        <a:xfrm>
          <a:off x="57896" y="677255"/>
          <a:ext cx="16170323" cy="529968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200" b="0" i="0" strike="noStrike">
              <a:solidFill>
                <a:srgbClr val="000000"/>
              </a:solidFill>
              <a:latin typeface="Arial"/>
              <a:cs typeface="Arial"/>
            </a:rPr>
            <a:t>This Excel spreadsheet has been developed to assist crews in selecting the Philmont itineraries that best reflect the capability and preferences of their crew.  It uses a set of preferences that are based on the capability and wishes of the crew. Based on interest surveys conducted by the crew members, it attempts to best fit the crew's wishes to the available itineraries.
The itineraries and programs used in this version of the spreadsheet are based on the </a:t>
          </a:r>
          <a:r>
            <a:rPr lang="en-US" sz="1200" b="1" i="1" strike="noStrike">
              <a:solidFill>
                <a:srgbClr val="000000"/>
              </a:solidFill>
              <a:latin typeface="Arial"/>
              <a:cs typeface="Arial"/>
            </a:rPr>
            <a:t>Philmont 2025 Itinerary Guidebook</a:t>
          </a:r>
          <a:r>
            <a:rPr lang="en-US" sz="1200" b="0" i="0" strike="noStrike">
              <a:solidFill>
                <a:srgbClr val="000000"/>
              </a:solidFill>
              <a:latin typeface="Arial"/>
              <a:cs typeface="Arial"/>
            </a:rPr>
            <a:t>. 
Along with this spreadsheet, use a copy of the Word survey form for each crewmember.  This survey lists the programs available at Philmont for your type</a:t>
          </a:r>
          <a:r>
            <a:rPr lang="en-US" sz="1200" b="0" i="0" strike="noStrike" baseline="0">
              <a:solidFill>
                <a:srgbClr val="000000"/>
              </a:solidFill>
              <a:latin typeface="Arial"/>
              <a:cs typeface="Arial"/>
            </a:rPr>
            <a:t> trek (12-day, 9-day, or 7-day) </a:t>
          </a:r>
          <a:r>
            <a:rPr lang="en-US" sz="1200" b="0" i="0" strike="noStrike">
              <a:solidFill>
                <a:srgbClr val="000000"/>
              </a:solidFill>
              <a:latin typeface="Arial"/>
              <a:cs typeface="Arial"/>
            </a:rPr>
            <a:t>and permits the crew members to assign a value to reflect their interest in each program.  It is available for download on the itinerary selection website (</a:t>
          </a:r>
          <a:r>
            <a:rPr lang="en-US" sz="1200" b="0" i="0" strike="noStrike">
              <a:solidFill>
                <a:schemeClr val="tx2">
                  <a:lumMod val="75000"/>
                </a:schemeClr>
              </a:solidFill>
              <a:latin typeface="Arial"/>
              <a:cs typeface="Arial"/>
            </a:rPr>
            <a:t>www.sccovington.com/itinerarySelection</a:t>
          </a:r>
          <a:r>
            <a:rPr lang="en-US" sz="1200" b="0" i="0" strike="noStrike">
              <a:solidFill>
                <a:srgbClr val="000000"/>
              </a:solidFill>
              <a:latin typeface="Arial"/>
              <a:cs typeface="Arial"/>
            </a:rPr>
            <a:t>)</a:t>
          </a:r>
          <a:r>
            <a:rPr lang="en-US" sz="1200" b="0" i="0" strike="noStrike" baseline="0">
              <a:solidFill>
                <a:srgbClr val="000000"/>
              </a:solidFill>
              <a:latin typeface="Arial"/>
              <a:cs typeface="Arial"/>
            </a:rPr>
            <a:t> on the </a:t>
          </a:r>
          <a:r>
            <a:rPr lang="en-US" sz="1200" b="1" i="0" strike="noStrike" baseline="0">
              <a:solidFill>
                <a:srgbClr val="000000"/>
              </a:solidFill>
              <a:latin typeface="Arial"/>
              <a:cs typeface="Arial"/>
            </a:rPr>
            <a:t>It</a:t>
          </a:r>
          <a:r>
            <a:rPr lang="en-US" sz="1200" b="1" i="0" strike="noStrike">
              <a:solidFill>
                <a:srgbClr val="000000"/>
              </a:solidFill>
              <a:latin typeface="Arial"/>
              <a:cs typeface="Arial"/>
            </a:rPr>
            <a:t>inerary Selection</a:t>
          </a:r>
          <a:r>
            <a:rPr lang="en-US" sz="1200" b="0" i="0" strike="noStrike">
              <a:solidFill>
                <a:srgbClr val="000000"/>
              </a:solidFill>
              <a:latin typeface="Arial"/>
              <a:cs typeface="Arial"/>
            </a:rPr>
            <a:t> page. 
When the surveys have been completed, click on the </a:t>
          </a:r>
          <a:r>
            <a:rPr lang="en-US" sz="1200" b="1" i="0" strike="noStrike">
              <a:solidFill>
                <a:srgbClr val="000000"/>
              </a:solidFill>
              <a:latin typeface="Arial"/>
              <a:cs typeface="Arial"/>
            </a:rPr>
            <a:t>Scores</a:t>
          </a:r>
          <a:r>
            <a:rPr lang="en-US" sz="1200" b="0" i="0" strike="noStrike">
              <a:solidFill>
                <a:srgbClr val="000000"/>
              </a:solidFill>
              <a:latin typeface="Arial"/>
              <a:cs typeface="Arial"/>
            </a:rPr>
            <a:t> tabof the spreadsheet.  Click the </a:t>
          </a:r>
          <a:r>
            <a:rPr lang="en-US" sz="1200" b="1" i="0" strike="noStrike">
              <a:solidFill>
                <a:srgbClr val="000000"/>
              </a:solidFill>
              <a:latin typeface="Arial"/>
              <a:cs typeface="Arial"/>
            </a:rPr>
            <a:t>Clear Scores </a:t>
          </a:r>
          <a:r>
            <a:rPr lang="en-US" sz="1200" b="0" i="0" strike="noStrike">
              <a:solidFill>
                <a:srgbClr val="000000"/>
              </a:solidFill>
              <a:latin typeface="Arial"/>
              <a:cs typeface="Arial"/>
            </a:rPr>
            <a:t>button to erase the sample data.  There is a column for each participant's survey scores.  Enter the participant's name in the green top row and then enter the score for each program in the column below the participant name.  Scores should be in the range of 0 to 20 where 0 indicates the crewmember doesn't want to do the program and 20 indicates it is of maximum</a:t>
          </a:r>
          <a:r>
            <a:rPr lang="en-US" sz="1200" b="0" i="0" strike="noStrike" baseline="0">
              <a:solidFill>
                <a:srgbClr val="000000"/>
              </a:solidFill>
              <a:latin typeface="Arial"/>
              <a:cs typeface="Arial"/>
            </a:rPr>
            <a:t> importance to them</a:t>
          </a:r>
          <a:r>
            <a:rPr lang="en-US" sz="1200" b="0" i="0" strike="noStrike">
              <a:solidFill>
                <a:srgbClr val="000000"/>
              </a:solidFill>
              <a:latin typeface="Arial"/>
              <a:cs typeface="Arial"/>
            </a:rPr>
            <a:t>.  There may be multiple programs with the same score.</a:t>
          </a:r>
          <a:r>
            <a:rPr lang="en-US" sz="1200" b="0" i="0" strike="noStrike" baseline="0">
              <a:solidFill>
                <a:srgbClr val="000000"/>
              </a:solidFill>
              <a:latin typeface="Arial"/>
              <a:cs typeface="Arial"/>
            </a:rPr>
            <a:t>  Leave the score empty if the crewmember didn't enter one</a:t>
          </a:r>
          <a:r>
            <a:rPr lang="en-US" sz="1200" b="0" i="0" strike="noStrike">
              <a:solidFill>
                <a:srgbClr val="000000"/>
              </a:solidFill>
              <a:latin typeface="Arial"/>
              <a:cs typeface="Arial"/>
            </a:rPr>
            <a:t>.  Do this for each participant that you have survey results for.  The spreadsheet will accommodate a maximum of 12 participants but it will calculate properly if fewer participants are entered (a smaller crew).  It is recommended that each crewmember (youth and adult) complete the survey and the scores entered.  This will most accurately reflect the wishes of the crew.
The </a:t>
          </a:r>
          <a:r>
            <a:rPr lang="en-US" sz="1200" b="1" i="0" strike="noStrike">
              <a:solidFill>
                <a:srgbClr val="000000"/>
              </a:solidFill>
              <a:latin typeface="Arial"/>
              <a:cs typeface="Arial"/>
            </a:rPr>
            <a:t>Preferences</a:t>
          </a:r>
          <a:r>
            <a:rPr lang="en-US" sz="1200" b="0" i="0" strike="noStrike">
              <a:solidFill>
                <a:srgbClr val="000000"/>
              </a:solidFill>
              <a:latin typeface="Arial"/>
              <a:cs typeface="Arial"/>
            </a:rPr>
            <a:t> tab allows you to set the general preferences for your crew.  You may wish to try different combinations of these.
The </a:t>
          </a:r>
          <a:r>
            <a:rPr lang="en-US" sz="1200" b="1" i="0" strike="noStrike">
              <a:solidFill>
                <a:srgbClr val="000000"/>
              </a:solidFill>
              <a:latin typeface="Arial"/>
              <a:cs typeface="Arial"/>
            </a:rPr>
            <a:t>Results</a:t>
          </a:r>
          <a:r>
            <a:rPr lang="en-US" sz="1200" b="0" i="0" strike="noStrike">
              <a:solidFill>
                <a:srgbClr val="000000"/>
              </a:solidFill>
              <a:latin typeface="Arial"/>
              <a:cs typeface="Arial"/>
            </a:rPr>
            <a:t> tab is used to calculate results based on the </a:t>
          </a:r>
          <a:r>
            <a:rPr lang="en-US" sz="1200" b="1" i="0" strike="noStrike">
              <a:solidFill>
                <a:srgbClr val="000000"/>
              </a:solidFill>
              <a:latin typeface="Arial"/>
              <a:cs typeface="Arial"/>
            </a:rPr>
            <a:t>Total</a:t>
          </a:r>
          <a:r>
            <a:rPr lang="en-US" sz="1200" b="0" i="0" strike="noStrike">
              <a:solidFill>
                <a:srgbClr val="000000"/>
              </a:solidFill>
              <a:latin typeface="Arial"/>
              <a:cs typeface="Arial"/>
            </a:rPr>
            <a:t>, arithmetic average (</a:t>
          </a:r>
          <a:r>
            <a:rPr lang="en-US" sz="1200" b="1" i="0" strike="noStrike">
              <a:solidFill>
                <a:srgbClr val="000000"/>
              </a:solidFill>
              <a:latin typeface="Arial"/>
              <a:cs typeface="Arial"/>
            </a:rPr>
            <a:t>Mean</a:t>
          </a:r>
          <a:r>
            <a:rPr lang="en-US" sz="1200" b="0" i="0" strike="noStrike">
              <a:solidFill>
                <a:srgbClr val="000000"/>
              </a:solidFill>
              <a:latin typeface="Arial"/>
              <a:cs typeface="Arial"/>
            </a:rPr>
            <a:t>), middle (</a:t>
          </a:r>
          <a:r>
            <a:rPr lang="en-US" sz="1200" b="1" i="0" strike="noStrike">
              <a:solidFill>
                <a:srgbClr val="000000"/>
              </a:solidFill>
              <a:latin typeface="Arial"/>
              <a:cs typeface="Arial"/>
            </a:rPr>
            <a:t>Median</a:t>
          </a:r>
          <a:r>
            <a:rPr lang="en-US" sz="1200" b="0" i="0" strike="noStrike">
              <a:solidFill>
                <a:srgbClr val="000000"/>
              </a:solidFill>
              <a:latin typeface="Arial"/>
              <a:cs typeface="Arial"/>
            </a:rPr>
            <a:t>), or most frequently entered (</a:t>
          </a:r>
          <a:r>
            <a:rPr lang="en-US" sz="1200" b="1" i="0" strike="noStrike">
              <a:solidFill>
                <a:srgbClr val="000000"/>
              </a:solidFill>
              <a:latin typeface="Arial"/>
              <a:cs typeface="Arial"/>
            </a:rPr>
            <a:t>Mode</a:t>
          </a:r>
          <a:r>
            <a:rPr lang="en-US" sz="1200" b="0" i="0" strike="noStrike">
              <a:solidFill>
                <a:srgbClr val="000000"/>
              </a:solidFill>
              <a:latin typeface="Arial"/>
              <a:cs typeface="Arial"/>
            </a:rPr>
            <a:t>) scores.  You may want to try all to see what differences there are.  Select these by clicking the </a:t>
          </a:r>
          <a:r>
            <a:rPr lang="en-US" sz="1200" b="1" i="0" strike="noStrike">
              <a:solidFill>
                <a:srgbClr val="000000"/>
              </a:solidFill>
              <a:latin typeface="Arial"/>
              <a:cs typeface="Arial"/>
            </a:rPr>
            <a:t>Total</a:t>
          </a:r>
          <a:r>
            <a:rPr lang="en-US" sz="1200" b="0" i="0" strike="noStrike">
              <a:solidFill>
                <a:srgbClr val="000000"/>
              </a:solidFill>
              <a:latin typeface="Arial"/>
              <a:cs typeface="Arial"/>
            </a:rPr>
            <a:t>, </a:t>
          </a:r>
          <a:r>
            <a:rPr lang="en-US" sz="1200" b="1" i="0" strike="noStrike">
              <a:solidFill>
                <a:srgbClr val="000000"/>
              </a:solidFill>
              <a:latin typeface="Arial"/>
              <a:cs typeface="Arial"/>
            </a:rPr>
            <a:t>Mean</a:t>
          </a:r>
          <a:r>
            <a:rPr lang="en-US" sz="1200" b="0" i="0" strike="noStrike">
              <a:solidFill>
                <a:srgbClr val="000000"/>
              </a:solidFill>
              <a:latin typeface="Arial"/>
              <a:cs typeface="Arial"/>
            </a:rPr>
            <a:t>, </a:t>
          </a:r>
          <a:r>
            <a:rPr lang="en-US" sz="1200" b="1" i="0" strike="noStrike">
              <a:solidFill>
                <a:srgbClr val="000000"/>
              </a:solidFill>
              <a:latin typeface="Arial"/>
              <a:cs typeface="Arial"/>
            </a:rPr>
            <a:t>Median</a:t>
          </a:r>
          <a:r>
            <a:rPr lang="en-US" sz="1200" b="0" i="0" strike="noStrike">
              <a:solidFill>
                <a:srgbClr val="000000"/>
              </a:solidFill>
              <a:latin typeface="Arial"/>
              <a:cs typeface="Arial"/>
            </a:rPr>
            <a:t>, or </a:t>
          </a:r>
          <a:r>
            <a:rPr lang="en-US" sz="1200" b="1" i="0" strike="noStrike">
              <a:solidFill>
                <a:srgbClr val="000000"/>
              </a:solidFill>
              <a:latin typeface="Arial"/>
              <a:cs typeface="Arial"/>
            </a:rPr>
            <a:t>Mode</a:t>
          </a:r>
          <a:r>
            <a:rPr lang="en-US" sz="1200" b="0" i="0" strike="noStrike">
              <a:solidFill>
                <a:srgbClr val="000000"/>
              </a:solidFill>
              <a:latin typeface="Arial"/>
              <a:cs typeface="Arial"/>
            </a:rPr>
            <a:t> buttons.  Click the </a:t>
          </a:r>
          <a:r>
            <a:rPr lang="en-US" sz="1200" b="1" i="0" strike="noStrike">
              <a:solidFill>
                <a:srgbClr val="000000"/>
              </a:solidFill>
              <a:latin typeface="Arial"/>
              <a:cs typeface="Arial"/>
            </a:rPr>
            <a:t>Sort Activities</a:t>
          </a:r>
          <a:r>
            <a:rPr lang="en-US" sz="1200" b="0" i="0" strike="noStrike">
              <a:solidFill>
                <a:srgbClr val="000000"/>
              </a:solidFill>
              <a:latin typeface="Arial"/>
              <a:cs typeface="Arial"/>
            </a:rPr>
            <a:t> button to put the programs in preference order.  The program preferences are displayed in the right hand column.  Click the </a:t>
          </a:r>
          <a:r>
            <a:rPr lang="en-US" sz="1200" b="1" i="0" strike="noStrike">
              <a:solidFill>
                <a:srgbClr val="000000"/>
              </a:solidFill>
              <a:latin typeface="Arial"/>
              <a:cs typeface="Arial"/>
            </a:rPr>
            <a:t>Rank</a:t>
          </a:r>
          <a:r>
            <a:rPr lang="en-US" sz="1200" b="0" i="0" strike="noStrike">
              <a:solidFill>
                <a:srgbClr val="000000"/>
              </a:solidFill>
              <a:latin typeface="Arial"/>
              <a:cs typeface="Arial"/>
            </a:rPr>
            <a:t> button to match your preferences against the available itineraries.  The itineraries that most closely match your preferences and survey responses are displayed on the left.  The top six itineraries are shown in bold.  You should carefully review these itineraries to see if they are the ones your crew would like to select.  Look at the scoring of the itineraries, there may be little difference between the first 5 to 10 itineraries, in that event, itineraries other than the top six may be a better choice for your crew.
The </a:t>
          </a:r>
          <a:r>
            <a:rPr lang="en-US" sz="1200" b="1" i="0" strike="noStrike">
              <a:solidFill>
                <a:srgbClr val="000000"/>
              </a:solidFill>
              <a:latin typeface="Arial"/>
              <a:cs typeface="Arial"/>
            </a:rPr>
            <a:t>Itinerary Chart </a:t>
          </a:r>
          <a:r>
            <a:rPr lang="en-US" sz="1200" b="0" i="0" strike="noStrike">
              <a:solidFill>
                <a:srgbClr val="000000"/>
              </a:solidFill>
              <a:latin typeface="Arial"/>
              <a:cs typeface="Arial"/>
            </a:rPr>
            <a:t>tab displays a printable bar chart showing the relative differences between the itineraries as compared to your preferences and scores.
The </a:t>
          </a:r>
          <a:r>
            <a:rPr lang="en-US" sz="1200" b="1" i="0" strike="noStrike">
              <a:solidFill>
                <a:srgbClr val="000000"/>
              </a:solidFill>
              <a:latin typeface="Arial"/>
              <a:cs typeface="Arial"/>
            </a:rPr>
            <a:t>Program Chart </a:t>
          </a:r>
          <a:r>
            <a:rPr lang="en-US" sz="1200" b="0" i="0" strike="noStrike">
              <a:solidFill>
                <a:srgbClr val="000000"/>
              </a:solidFill>
              <a:latin typeface="Arial"/>
              <a:cs typeface="Arial"/>
            </a:rPr>
            <a:t>tab displays a printable bar chart showing the programs that your crew selected in rank order.  Note that for the </a:t>
          </a:r>
          <a:r>
            <a:rPr lang="en-US" sz="1200" b="1" i="0" strike="noStrike">
              <a:solidFill>
                <a:srgbClr val="000000"/>
              </a:solidFill>
              <a:latin typeface="Arial"/>
              <a:cs typeface="Arial"/>
            </a:rPr>
            <a:t>Mode</a:t>
          </a:r>
          <a:r>
            <a:rPr lang="en-US" sz="1200" b="0" i="0" strike="noStrike">
              <a:solidFill>
                <a:srgbClr val="000000"/>
              </a:solidFill>
              <a:latin typeface="Arial"/>
              <a:cs typeface="Arial"/>
            </a:rPr>
            <a:t> selection, programs</a:t>
          </a:r>
          <a:r>
            <a:rPr lang="en-US" sz="1200" b="0" i="0" strike="noStrike" baseline="0">
              <a:solidFill>
                <a:srgbClr val="000000"/>
              </a:solidFill>
              <a:latin typeface="Arial"/>
              <a:cs typeface="Arial"/>
            </a:rPr>
            <a:t> may not be displayed if there was no "mode".</a:t>
          </a:r>
          <a:r>
            <a:rPr lang="en-US" sz="1200" b="0" i="0" strike="noStrike">
              <a:solidFill>
                <a:srgbClr val="000000"/>
              </a:solidFill>
              <a:latin typeface="Arial"/>
              <a:cs typeface="Arial"/>
            </a:rPr>
            <a:t>
The </a:t>
          </a:r>
          <a:r>
            <a:rPr lang="en-US" sz="1200" b="1" i="0" strike="noStrike">
              <a:solidFill>
                <a:srgbClr val="000000"/>
              </a:solidFill>
              <a:latin typeface="Arial"/>
              <a:cs typeface="Arial"/>
            </a:rPr>
            <a:t>Itinerary Details </a:t>
          </a:r>
          <a:r>
            <a:rPr lang="en-US" sz="1200" b="0" i="0" strike="noStrike">
              <a:solidFill>
                <a:srgbClr val="000000"/>
              </a:solidFill>
              <a:latin typeface="Arial"/>
              <a:cs typeface="Arial"/>
            </a:rPr>
            <a:t>tab allows the user to get a snapshot of the information relating to a selected itinerary number.  These worksheets may be printed.  It is suggested that copies be left at home so families will know where the crew is during their trek.
The </a:t>
          </a:r>
          <a:r>
            <a:rPr lang="en-US" sz="1200" b="1" i="0" strike="noStrike">
              <a:solidFill>
                <a:srgbClr val="000000"/>
              </a:solidFill>
              <a:latin typeface="Arial"/>
              <a:cs typeface="Arial"/>
            </a:rPr>
            <a:t>Tables</a:t>
          </a:r>
          <a:r>
            <a:rPr lang="en-US" sz="1200" b="0" i="0" strike="noStrike">
              <a:solidFill>
                <a:srgbClr val="000000"/>
              </a:solidFill>
              <a:latin typeface="Arial"/>
              <a:cs typeface="Arial"/>
            </a:rPr>
            <a:t> tab may benormally modified by the user.  It contains the values used for various scoring.  You may wish to change these to reflect items that you feel are more or less important.  Biases of the author are noted.  The crew skill level to itinerary difficulty cross reference table makes a significant difference in itinerary selection results.</a:t>
          </a:r>
        </a:p>
      </xdr:txBody>
    </xdr:sp>
    <xdr:clientData/>
  </xdr:twoCellAnchor>
  <xdr:twoCellAnchor>
    <xdr:from>
      <xdr:col>0</xdr:col>
      <xdr:colOff>56029</xdr:colOff>
      <xdr:row>3</xdr:row>
      <xdr:rowOff>297657</xdr:rowOff>
    </xdr:from>
    <xdr:to>
      <xdr:col>17</xdr:col>
      <xdr:colOff>0</xdr:colOff>
      <xdr:row>4</xdr:row>
      <xdr:rowOff>1309689</xdr:rowOff>
    </xdr:to>
    <xdr:sp macro="" textlink="">
      <xdr:nvSpPr>
        <xdr:cNvPr id="7171" name="Text Box 3">
          <a:extLst>
            <a:ext uri="{FF2B5EF4-FFF2-40B4-BE49-F238E27FC236}">
              <a16:creationId xmlns:a16="http://schemas.microsoft.com/office/drawing/2014/main" id="{00000000-0008-0000-0000-0000031C0000}"/>
            </a:ext>
          </a:extLst>
        </xdr:cNvPr>
        <xdr:cNvSpPr txBox="1">
          <a:spLocks noChangeArrowheads="1"/>
        </xdr:cNvSpPr>
      </xdr:nvSpPr>
      <xdr:spPr bwMode="auto">
        <a:xfrm>
          <a:off x="56029" y="6334126"/>
          <a:ext cx="16172190" cy="132159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200" b="1" i="0" strike="noStrike">
              <a:solidFill>
                <a:srgbClr val="000000"/>
              </a:solidFill>
              <a:latin typeface="Arial" panose="020B0604020202020204" pitchFamily="34" charset="0"/>
              <a:cs typeface="Arial" panose="020B0604020202020204" pitchFamily="34" charset="0"/>
            </a:rPr>
            <a:t>NOTE:  </a:t>
          </a:r>
          <a:r>
            <a:rPr lang="en-US" sz="1200" b="0" i="0" strike="noStrike">
              <a:solidFill>
                <a:srgbClr val="000000"/>
              </a:solidFill>
              <a:latin typeface="Arial" panose="020B0604020202020204" pitchFamily="34" charset="0"/>
              <a:cs typeface="Arial" panose="020B0604020202020204" pitchFamily="34" charset="0"/>
            </a:rPr>
            <a:t>Elevations are based on the altitude of the campsites, not the peak altitudes or changes shown in the </a:t>
          </a:r>
          <a:r>
            <a:rPr lang="en-US" sz="1200" b="0" i="1" strike="noStrike">
              <a:solidFill>
                <a:srgbClr val="000000"/>
              </a:solidFill>
              <a:latin typeface="Arial" panose="020B0604020202020204" pitchFamily="34" charset="0"/>
              <a:cs typeface="Arial" panose="020B0604020202020204" pitchFamily="34" charset="0"/>
            </a:rPr>
            <a:t>Itinerary Guidebook</a:t>
          </a:r>
          <a:r>
            <a:rPr lang="en-US" sz="1200" b="0" i="0" strike="noStrike">
              <a:solidFill>
                <a:srgbClr val="000000"/>
              </a:solidFill>
              <a:latin typeface="Arial" panose="020B0604020202020204" pitchFamily="34" charset="0"/>
              <a:cs typeface="Arial" panose="020B0604020202020204" pitchFamily="34" charset="0"/>
            </a:rPr>
            <a:t>.  This permits the calculation of the average daily change in elevation.  This version of the spreadsheet includes the maximum elevation attained, total altitude change, and average daily change as factors in the calculation.  These three factors may be enabled or disabled in the </a:t>
          </a:r>
          <a:r>
            <a:rPr lang="en-US" sz="1200" b="1" i="0" strike="noStrike">
              <a:solidFill>
                <a:srgbClr val="000000"/>
              </a:solidFill>
              <a:latin typeface="Arial" panose="020B0604020202020204" pitchFamily="34" charset="0"/>
              <a:cs typeface="Arial" panose="020B0604020202020204" pitchFamily="34" charset="0"/>
            </a:rPr>
            <a:t>Preferences</a:t>
          </a:r>
          <a:r>
            <a:rPr lang="en-US" sz="1200" b="0" i="0" strike="noStrike">
              <a:solidFill>
                <a:srgbClr val="000000"/>
              </a:solidFill>
              <a:latin typeface="Arial" panose="020B0604020202020204" pitchFamily="34" charset="0"/>
              <a:cs typeface="Arial" panose="020B0604020202020204" pitchFamily="34" charset="0"/>
            </a:rPr>
            <a:t> tab.  In 2005, crews noticed that they were carrying a large initial food provisioning.  This was added as a factor for 2006 (number of days of initial food.)  The number of days until the first commissary and the maximum number of days of food carried during the trek are now included in the selection criteria.
</a:t>
          </a:r>
          <a:r>
            <a:rPr lang="en-US" sz="1200" b="0" i="0" strike="noStrike">
              <a:solidFill>
                <a:srgbClr val="000000"/>
              </a:solidFill>
              <a:latin typeface="Arial" panose="020B0604020202020204" pitchFamily="34" charset="0"/>
              <a:ea typeface="+mn-ea"/>
              <a:cs typeface="Arial" panose="020B0604020202020204" pitchFamily="34" charset="0"/>
            </a:rPr>
            <a:t>
     There are a number of "worksheets" that are normally "hidden".  You may place the cursor on any of the worksheet tabs below, right click, and select "Unhide..." to view these worksheets</a:t>
          </a:r>
          <a:r>
            <a:rPr lang="en-US" sz="1200" b="0" i="0">
              <a:effectLst/>
              <a:latin typeface="Arial" panose="020B0604020202020204" pitchFamily="34" charset="0"/>
              <a:ea typeface="+mn-ea"/>
              <a:cs typeface="Arial" panose="020B0604020202020204" pitchFamily="34" charset="0"/>
            </a:rPr>
            <a:t>.  There is also a </a:t>
          </a:r>
          <a:r>
            <a:rPr lang="en-US" sz="1200" b="1" i="0">
              <a:effectLst/>
              <a:latin typeface="Arial" panose="020B0604020202020204" pitchFamily="34" charset="0"/>
              <a:ea typeface="+mn-ea"/>
              <a:cs typeface="Arial" panose="020B0604020202020204" pitchFamily="34" charset="0"/>
            </a:rPr>
            <a:t>Detail Information</a:t>
          </a:r>
          <a:r>
            <a:rPr lang="en-US" sz="1200" b="0" i="0">
              <a:effectLst/>
              <a:latin typeface="Arial" panose="020B0604020202020204" pitchFamily="34" charset="0"/>
              <a:ea typeface="+mn-ea"/>
              <a:cs typeface="Arial" panose="020B0604020202020204" pitchFamily="34" charset="0"/>
            </a:rPr>
            <a:t> </a:t>
          </a:r>
          <a:br>
            <a:rPr lang="en-US" sz="1200" b="0" i="0" strike="noStrike">
              <a:solidFill>
                <a:srgbClr val="000000"/>
              </a:solidFill>
              <a:latin typeface="Arial" panose="020B0604020202020204" pitchFamily="34" charset="0"/>
              <a:cs typeface="Arial" panose="020B0604020202020204" pitchFamily="34" charset="0"/>
            </a:rPr>
          </a:br>
          <a:r>
            <a:rPr lang="en-US" sz="1200" b="0" i="0" strike="noStrike">
              <a:solidFill>
                <a:srgbClr val="000000"/>
              </a:solidFill>
              <a:latin typeface="Arial" panose="020B0604020202020204" pitchFamily="34" charset="0"/>
              <a:cs typeface="Arial" panose="020B0604020202020204" pitchFamily="34" charset="0"/>
            </a:rPr>
            <a:t>worksheet.  It contains instructions at a more detailed level on how you may modify the various calculations and worksheets to better fit your crew's needs.  </a:t>
          </a:r>
          <a:endParaRPr lang="en-US" sz="1400" b="0" i="0" strike="noStrike">
            <a:solidFill>
              <a:srgbClr val="000000"/>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962025</xdr:colOff>
          <xdr:row>0</xdr:row>
          <xdr:rowOff>66675</xdr:rowOff>
        </xdr:from>
        <xdr:to>
          <xdr:col>0</xdr:col>
          <xdr:colOff>2047875</xdr:colOff>
          <xdr:row>0</xdr:row>
          <xdr:rowOff>361950</xdr:rowOff>
        </xdr:to>
        <xdr:sp macro="" textlink="">
          <xdr:nvSpPr>
            <xdr:cNvPr id="6145" name="blankScoresButto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32107</xdr:colOff>
      <xdr:row>15</xdr:row>
      <xdr:rowOff>21234</xdr:rowOff>
    </xdr:from>
    <xdr:to>
      <xdr:col>5</xdr:col>
      <xdr:colOff>722215</xdr:colOff>
      <xdr:row>32</xdr:row>
      <xdr:rowOff>134157</xdr:rowOff>
    </xdr:to>
    <xdr:graphicFrame macro="">
      <xdr:nvGraphicFramePr>
        <xdr:cNvPr id="1493" name="Chart 8">
          <a:extLst>
            <a:ext uri="{FF2B5EF4-FFF2-40B4-BE49-F238E27FC236}">
              <a16:creationId xmlns:a16="http://schemas.microsoft.com/office/drawing/2014/main" id="{00000000-0008-0000-0300-0000D5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142875</xdr:colOff>
          <xdr:row>11</xdr:row>
          <xdr:rowOff>104775</xdr:rowOff>
        </xdr:from>
        <xdr:to>
          <xdr:col>4</xdr:col>
          <xdr:colOff>695325</xdr:colOff>
          <xdr:row>12</xdr:row>
          <xdr:rowOff>104775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Total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11</xdr:row>
          <xdr:rowOff>104775</xdr:rowOff>
        </xdr:from>
        <xdr:to>
          <xdr:col>5</xdr:col>
          <xdr:colOff>581025</xdr:colOff>
          <xdr:row>12</xdr:row>
          <xdr:rowOff>104775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Average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12</xdr:row>
          <xdr:rowOff>133350</xdr:rowOff>
        </xdr:from>
        <xdr:to>
          <xdr:col>4</xdr:col>
          <xdr:colOff>695325</xdr:colOff>
          <xdr:row>13</xdr:row>
          <xdr:rowOff>152400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300-00006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Median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12</xdr:row>
          <xdr:rowOff>133350</xdr:rowOff>
        </xdr:from>
        <xdr:to>
          <xdr:col>5</xdr:col>
          <xdr:colOff>581025</xdr:colOff>
          <xdr:row>13</xdr:row>
          <xdr:rowOff>152400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300-00006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9</xdr:row>
          <xdr:rowOff>133350</xdr:rowOff>
        </xdr:from>
        <xdr:to>
          <xdr:col>5</xdr:col>
          <xdr:colOff>542925</xdr:colOff>
          <xdr:row>11</xdr:row>
          <xdr:rowOff>57150</xdr:rowOff>
        </xdr:to>
        <xdr:sp macro="" textlink="">
          <xdr:nvSpPr>
            <xdr:cNvPr id="1128" name="btnRankItineraries" hidden="1">
              <a:extLst>
                <a:ext uri="{63B3BB69-23CF-44E3-9099-C40C66FF867C}">
                  <a14:compatExt spid="_x0000_s1128"/>
                </a:ext>
                <a:ext uri="{FF2B5EF4-FFF2-40B4-BE49-F238E27FC236}">
                  <a16:creationId xmlns:a16="http://schemas.microsoft.com/office/drawing/2014/main" id="{00000000-0008-0000-03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6189" cy="6932951"/>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0.07951</cdr:x>
      <cdr:y>0.05007</cdr:y>
    </cdr:from>
    <cdr:to>
      <cdr:x>0.52772</cdr:x>
      <cdr:y>0.94994</cdr:y>
    </cdr:to>
    <cdr:sp macro="" textlink="">
      <cdr:nvSpPr>
        <cdr:cNvPr id="2" name="Rectangle 1"/>
        <cdr:cNvSpPr/>
      </cdr:nvSpPr>
      <cdr:spPr bwMode="auto">
        <a:xfrm xmlns:a="http://schemas.openxmlformats.org/drawingml/2006/main">
          <a:off x="689687" y="346806"/>
          <a:ext cx="3887862" cy="6232889"/>
        </a:xfrm>
        <a:prstGeom xmlns:a="http://schemas.openxmlformats.org/drawingml/2006/main" prst="rect">
          <a:avLst/>
        </a:prstGeom>
        <a:noFill xmlns:a="http://schemas.openxmlformats.org/drawingml/2006/main"/>
        <a:ln xmlns:a="http://schemas.openxmlformats.org/drawingml/2006/main" w="12700" cap="flat" cmpd="sng" algn="ctr">
          <a:solidFill>
            <a:schemeClr val="tx1"/>
          </a:solidFill>
          <a:prstDash val="solid"/>
          <a:round/>
          <a:headEnd type="none" w="med" len="med"/>
          <a:tailEnd type="none" w="med" len="med"/>
        </a:ln>
        <a:effectLst xmlns:a="http://schemas.openxmlformats.org/drawingml/2006/main">
          <a:outerShdw blurRad="50800" dist="38100" dir="2700000" algn="tl" rotWithShape="0">
            <a:prstClr val="black">
              <a:alpha val="40000"/>
            </a:prstClr>
          </a:outerShdw>
        </a:effectLst>
      </cdr:spPr>
      <cdr:txBody>
        <a:bodyPr xmlns:a="http://schemas.openxmlformats.org/drawingml/2006/main" vertOverflow="clip" wrap="square" lIns="18288" tIns="0" rIns="0" bIns="0" upright="1"/>
        <a:lstStyle xmlns:a="http://schemas.openxmlformats.org/drawingml/2006/main"/>
        <a:p xmlns:a="http://schemas.openxmlformats.org/drawingml/2006/main">
          <a:endParaRPr lang="en-US"/>
        </a:p>
      </cdr:txBody>
    </cdr:sp>
  </cdr:relSizeAnchor>
  <cdr:relSizeAnchor xmlns:cdr="http://schemas.openxmlformats.org/drawingml/2006/chartDrawing">
    <cdr:from>
      <cdr:x>0.09173</cdr:x>
      <cdr:y>0.04714</cdr:y>
    </cdr:from>
    <cdr:to>
      <cdr:x>0.50959</cdr:x>
      <cdr:y>0.09091</cdr:y>
    </cdr:to>
    <cdr:sp macro="" textlink="">
      <cdr:nvSpPr>
        <cdr:cNvPr id="3" name="TextBox 2"/>
        <cdr:cNvSpPr txBox="1"/>
      </cdr:nvSpPr>
      <cdr:spPr>
        <a:xfrm xmlns:a="http://schemas.openxmlformats.org/drawingml/2006/main">
          <a:off x="795686" y="326512"/>
          <a:ext cx="3624654" cy="30317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050" i="1"/>
            <a:t>Top 6</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6762750" cy="9382125"/>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twoCellAnchor>
    <xdr:from>
      <xdr:col>7</xdr:col>
      <xdr:colOff>114299</xdr:colOff>
      <xdr:row>24</xdr:row>
      <xdr:rowOff>309563</xdr:rowOff>
    </xdr:from>
    <xdr:to>
      <xdr:col>19</xdr:col>
      <xdr:colOff>0</xdr:colOff>
      <xdr:row>52</xdr:row>
      <xdr:rowOff>47626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26</xdr:row>
      <xdr:rowOff>4763</xdr:rowOff>
    </xdr:from>
    <xdr:to>
      <xdr:col>6</xdr:col>
      <xdr:colOff>533400</xdr:colOff>
      <xdr:row>44</xdr:row>
      <xdr:rowOff>352426</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19050</xdr:colOff>
          <xdr:row>0</xdr:row>
          <xdr:rowOff>19050</xdr:rowOff>
        </xdr:from>
        <xdr:to>
          <xdr:col>26</xdr:col>
          <xdr:colOff>838200</xdr:colOff>
          <xdr:row>1</xdr:row>
          <xdr:rowOff>28575</xdr:rowOff>
        </xdr:to>
        <xdr:sp macro="" textlink="">
          <xdr:nvSpPr>
            <xdr:cNvPr id="23555" name="btnHide"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1</xdr:row>
          <xdr:rowOff>104775</xdr:rowOff>
        </xdr:from>
        <xdr:to>
          <xdr:col>26</xdr:col>
          <xdr:colOff>828675</xdr:colOff>
          <xdr:row>2</xdr:row>
          <xdr:rowOff>142875</xdr:rowOff>
        </xdr:to>
        <xdr:sp macro="" textlink="">
          <xdr:nvSpPr>
            <xdr:cNvPr id="23556" name="btnUnHideStuff"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xdr:col>
      <xdr:colOff>47625</xdr:colOff>
      <xdr:row>61</xdr:row>
      <xdr:rowOff>59334</xdr:rowOff>
    </xdr:from>
    <xdr:to>
      <xdr:col>7</xdr:col>
      <xdr:colOff>464344</xdr:colOff>
      <xdr:row>64</xdr:row>
      <xdr:rowOff>69494</xdr:rowOff>
    </xdr:to>
    <xdr:sp macro="" textlink="">
      <xdr:nvSpPr>
        <xdr:cNvPr id="2049" name="Text 1">
          <a:extLst>
            <a:ext uri="{FF2B5EF4-FFF2-40B4-BE49-F238E27FC236}">
              <a16:creationId xmlns:a16="http://schemas.microsoft.com/office/drawing/2014/main" id="{00000000-0008-0000-0800-000001080000}"/>
            </a:ext>
          </a:extLst>
        </xdr:cNvPr>
        <xdr:cNvSpPr txBox="1">
          <a:spLocks noChangeArrowheads="1"/>
        </xdr:cNvSpPr>
      </xdr:nvSpPr>
      <xdr:spPr bwMode="auto">
        <a:xfrm>
          <a:off x="5274469" y="9227147"/>
          <a:ext cx="2238375" cy="51022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Score will be based on preferences setting of 1, 2, 3, or 4 &amp; if itinerary is in country.</a:t>
          </a:r>
        </a:p>
      </xdr:txBody>
    </xdr:sp>
    <xdr:clientData/>
  </xdr:twoCellAnchor>
  <xdr:twoCellAnchor>
    <xdr:from>
      <xdr:col>4</xdr:col>
      <xdr:colOff>47625</xdr:colOff>
      <xdr:row>105</xdr:row>
      <xdr:rowOff>0</xdr:rowOff>
    </xdr:from>
    <xdr:to>
      <xdr:col>7</xdr:col>
      <xdr:colOff>413353</xdr:colOff>
      <xdr:row>108</xdr:row>
      <xdr:rowOff>169566</xdr:rowOff>
    </xdr:to>
    <xdr:sp macro="" textlink="">
      <xdr:nvSpPr>
        <xdr:cNvPr id="2050" name="Text 2">
          <a:extLst>
            <a:ext uri="{FF2B5EF4-FFF2-40B4-BE49-F238E27FC236}">
              <a16:creationId xmlns:a16="http://schemas.microsoft.com/office/drawing/2014/main" id="{00000000-0008-0000-0800-000002080000}"/>
            </a:ext>
          </a:extLst>
        </xdr:cNvPr>
        <xdr:cNvSpPr txBox="1">
          <a:spLocks noChangeArrowheads="1"/>
        </xdr:cNvSpPr>
      </xdr:nvSpPr>
      <xdr:spPr bwMode="auto">
        <a:xfrm>
          <a:off x="5270322" y="13056742"/>
          <a:ext cx="2195812" cy="651167"/>
        </a:xfrm>
        <a:prstGeom prst="rect">
          <a:avLst/>
        </a:prstGeom>
        <a:solidFill>
          <a:srgbClr val="FFFF00"/>
        </a:solidFill>
        <a:ln w="9525">
          <a:solidFill>
            <a:srgbClr val="000000"/>
          </a:solidFill>
          <a:miter lim="800000"/>
          <a:headEnd/>
          <a:tailEnd/>
        </a:ln>
      </xdr:spPr>
      <xdr:txBody>
        <a:bodyPr vertOverflow="clip" wrap="square" lIns="27432" tIns="22860" rIns="0" bIns="0" anchor="ctr" upright="1"/>
        <a:lstStyle/>
        <a:p>
          <a:pPr algn="l" rtl="0">
            <a:defRPr sz="1000"/>
          </a:pPr>
          <a:r>
            <a:rPr lang="en-US" sz="1000" b="1" i="0" strike="noStrike">
              <a:solidFill>
                <a:srgbClr val="000000"/>
              </a:solidFill>
              <a:latin typeface="Arial"/>
              <a:cs typeface="Arial"/>
            </a:rPr>
            <a:t>The value used on the Difficulty Score is based on the crew capability from preferences &amp; the settings to the right.</a:t>
          </a:r>
        </a:p>
      </xdr:txBody>
    </xdr:sp>
    <xdr:clientData/>
  </xdr:twoCellAnchor>
  <xdr:twoCellAnchor>
    <xdr:from>
      <xdr:col>4</xdr:col>
      <xdr:colOff>47625</xdr:colOff>
      <xdr:row>109</xdr:row>
      <xdr:rowOff>17145</xdr:rowOff>
    </xdr:from>
    <xdr:to>
      <xdr:col>7</xdr:col>
      <xdr:colOff>382979</xdr:colOff>
      <xdr:row>119</xdr:row>
      <xdr:rowOff>40100</xdr:rowOff>
    </xdr:to>
    <xdr:sp macro="" textlink="">
      <xdr:nvSpPr>
        <xdr:cNvPr id="2051" name="Text 3">
          <a:extLst>
            <a:ext uri="{FF2B5EF4-FFF2-40B4-BE49-F238E27FC236}">
              <a16:creationId xmlns:a16="http://schemas.microsoft.com/office/drawing/2014/main" id="{00000000-0008-0000-0800-000003080000}"/>
            </a:ext>
          </a:extLst>
        </xdr:cNvPr>
        <xdr:cNvSpPr txBox="1">
          <a:spLocks noChangeArrowheads="1"/>
        </xdr:cNvSpPr>
      </xdr:nvSpPr>
      <xdr:spPr bwMode="auto">
        <a:xfrm>
          <a:off x="5270322" y="13726724"/>
          <a:ext cx="2165438" cy="169250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Score highest value for highest altitude reached.  Note that the Itineraries sheet does not include the "optional" altitude, just where packs are being carried.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Altitude is kind of a macho thing!</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95250</xdr:colOff>
      <xdr:row>2</xdr:row>
      <xdr:rowOff>10702</xdr:rowOff>
    </xdr:from>
    <xdr:to>
      <xdr:col>7</xdr:col>
      <xdr:colOff>401541</xdr:colOff>
      <xdr:row>55</xdr:row>
      <xdr:rowOff>139130</xdr:rowOff>
    </xdr:to>
    <xdr:sp macro="" textlink="">
      <xdr:nvSpPr>
        <xdr:cNvPr id="2052" name="Text 4">
          <a:extLst>
            <a:ext uri="{FF2B5EF4-FFF2-40B4-BE49-F238E27FC236}">
              <a16:creationId xmlns:a16="http://schemas.microsoft.com/office/drawing/2014/main" id="{00000000-0008-0000-0800-000004080000}"/>
            </a:ext>
          </a:extLst>
        </xdr:cNvPr>
        <xdr:cNvSpPr txBox="1">
          <a:spLocks noChangeArrowheads="1"/>
        </xdr:cNvSpPr>
      </xdr:nvSpPr>
      <xdr:spPr bwMode="auto">
        <a:xfrm>
          <a:off x="5322094" y="379796"/>
          <a:ext cx="2127947" cy="829611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value shown for each activity is based on the responses from the </a:t>
          </a:r>
          <a:r>
            <a:rPr lang="en-US" sz="1000" b="1" i="0" strike="noStrike">
              <a:solidFill>
                <a:srgbClr val="000000"/>
              </a:solidFill>
              <a:latin typeface="Arial"/>
              <a:cs typeface="Arial"/>
            </a:rPr>
            <a:t>Philmont Program Preferences</a:t>
          </a:r>
          <a:r>
            <a:rPr lang="en-US" sz="1000" b="0" i="0" strike="noStrike">
              <a:solidFill>
                <a:srgbClr val="000000"/>
              </a:solidFill>
              <a:latin typeface="Arial"/>
              <a:cs typeface="Arial"/>
            </a:rPr>
            <a:t> sheets completed by each member of the trek.</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responses are entered on the "Scores" tab.</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Pressing the buttons below will cause the value to be used in the calculations:</a:t>
          </a:r>
        </a:p>
        <a:p>
          <a:pPr algn="l" rtl="0">
            <a:defRPr sz="1000"/>
          </a:pPr>
          <a:r>
            <a:rPr lang="en-US" sz="1000" b="0" i="0" strike="noStrike">
              <a:solidFill>
                <a:srgbClr val="000000"/>
              </a:solidFill>
              <a:latin typeface="Arial"/>
              <a:cs typeface="Arial"/>
            </a:rPr>
            <a:t>   Total-</a:t>
          </a:r>
          <a:r>
            <a:rPr lang="en-US" sz="1000" b="0" i="0" strike="noStrike" baseline="0">
              <a:solidFill>
                <a:srgbClr val="000000"/>
              </a:solidFill>
              <a:latin typeface="Arial"/>
              <a:cs typeface="Arial"/>
            </a:rPr>
            <a:t>sum of scores for activity</a:t>
          </a:r>
        </a:p>
        <a:p>
          <a:pPr algn="l" rtl="0">
            <a:defRPr sz="1000"/>
          </a:pPr>
          <a:r>
            <a:rPr lang="en-US" sz="1000" b="0" i="0" strike="noStrike" baseline="0">
              <a:solidFill>
                <a:srgbClr val="000000"/>
              </a:solidFill>
              <a:latin typeface="Arial"/>
              <a:cs typeface="Arial"/>
            </a:rPr>
            <a:t>   A</a:t>
          </a:r>
          <a:r>
            <a:rPr lang="en-US" sz="1000" b="0" i="0" strike="noStrike">
              <a:solidFill>
                <a:srgbClr val="000000"/>
              </a:solidFill>
              <a:latin typeface="Arial"/>
              <a:cs typeface="Arial"/>
            </a:rPr>
            <a:t>verage-average of scores</a:t>
          </a:r>
        </a:p>
        <a:p>
          <a:pPr algn="l" rtl="0">
            <a:defRPr sz="1000"/>
          </a:pPr>
          <a:r>
            <a:rPr lang="en-US" sz="1000" b="0" i="0" strike="noStrike">
              <a:solidFill>
                <a:srgbClr val="000000"/>
              </a:solidFill>
              <a:latin typeface="Arial"/>
              <a:cs typeface="Arial"/>
            </a:rPr>
            <a:t>   Median-midpoint</a:t>
          </a:r>
          <a:r>
            <a:rPr lang="en-US" sz="1000" b="0" i="0" strike="noStrike" baseline="0">
              <a:solidFill>
                <a:srgbClr val="000000"/>
              </a:solidFill>
              <a:latin typeface="Arial"/>
              <a:cs typeface="Arial"/>
            </a:rPr>
            <a:t> of scores</a:t>
          </a:r>
        </a:p>
        <a:p>
          <a:pPr algn="l" rtl="0">
            <a:defRPr sz="1000"/>
          </a:pPr>
          <a:r>
            <a:rPr lang="en-US" sz="1000" b="0" i="0" strike="noStrike" baseline="0">
              <a:solidFill>
                <a:srgbClr val="000000"/>
              </a:solidFill>
              <a:latin typeface="Arial"/>
              <a:cs typeface="Arial"/>
            </a:rPr>
            <a:t>   Mode-most frequent score entered</a:t>
          </a: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r>
            <a:rPr lang="en-US" sz="1000" b="0" i="0" strike="noStrike" baseline="0">
              <a:solidFill>
                <a:srgbClr val="000000"/>
              </a:solidFill>
              <a:latin typeface="Arial"/>
              <a:cs typeface="Arial"/>
            </a:rPr>
            <a:t>Note that these values are multiplied by "programFactor" to create the table to the right that is used in the actual calculation of itinerary fit,</a:t>
          </a:r>
          <a:endParaRPr lang="en-US" sz="1000" b="0" i="0" strike="noStrike">
            <a:solidFill>
              <a:srgbClr val="000000"/>
            </a:solidFill>
            <a:latin typeface="Arial"/>
            <a:cs typeface="Arial"/>
          </a:endParaRPr>
        </a:p>
      </xdr:txBody>
    </xdr:sp>
    <xdr:clientData/>
  </xdr:twoCellAnchor>
  <xdr:twoCellAnchor>
    <xdr:from>
      <xdr:col>4</xdr:col>
      <xdr:colOff>47625</xdr:colOff>
      <xdr:row>80</xdr:row>
      <xdr:rowOff>32106</xdr:rowOff>
    </xdr:from>
    <xdr:to>
      <xdr:col>7</xdr:col>
      <xdr:colOff>451455</xdr:colOff>
      <xdr:row>88</xdr:row>
      <xdr:rowOff>110476</xdr:rowOff>
    </xdr:to>
    <xdr:sp macro="" textlink="">
      <xdr:nvSpPr>
        <xdr:cNvPr id="2062" name="Text 14">
          <a:extLst>
            <a:ext uri="{FF2B5EF4-FFF2-40B4-BE49-F238E27FC236}">
              <a16:creationId xmlns:a16="http://schemas.microsoft.com/office/drawing/2014/main" id="{00000000-0008-0000-0800-00000E080000}"/>
            </a:ext>
          </a:extLst>
        </xdr:cNvPr>
        <xdr:cNvSpPr txBox="1">
          <a:spLocks noChangeArrowheads="1"/>
        </xdr:cNvSpPr>
      </xdr:nvSpPr>
      <xdr:spPr bwMode="auto">
        <a:xfrm>
          <a:off x="5270322" y="11141039"/>
          <a:ext cx="2233914" cy="1362639"/>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Don't mind some trail camps but prefer staffed.  More points to fewer </a:t>
          </a:r>
        </a:p>
        <a:p>
          <a:pPr algn="l" rtl="0">
            <a:defRPr sz="1000"/>
          </a:pPr>
          <a:r>
            <a:rPr lang="en-US" sz="1000" b="0" i="0" strike="noStrike">
              <a:solidFill>
                <a:srgbClr val="000000"/>
              </a:solidFill>
              <a:latin typeface="Arial"/>
              <a:cs typeface="Arial"/>
            </a:rPr>
            <a:t>trail camps.</a:t>
          </a:r>
        </a:p>
        <a:p>
          <a:pPr algn="l" rtl="0">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47625</xdr:colOff>
      <xdr:row>89</xdr:row>
      <xdr:rowOff>1</xdr:rowOff>
    </xdr:from>
    <xdr:to>
      <xdr:col>7</xdr:col>
      <xdr:colOff>422947</xdr:colOff>
      <xdr:row>96</xdr:row>
      <xdr:rowOff>152457</xdr:rowOff>
    </xdr:to>
    <xdr:sp macro="" textlink="">
      <xdr:nvSpPr>
        <xdr:cNvPr id="2063" name="Text 15">
          <a:extLst>
            <a:ext uri="{FF2B5EF4-FFF2-40B4-BE49-F238E27FC236}">
              <a16:creationId xmlns:a16="http://schemas.microsoft.com/office/drawing/2014/main" id="{00000000-0008-0000-0800-00000F080000}"/>
            </a:ext>
          </a:extLst>
        </xdr:cNvPr>
        <xdr:cNvSpPr txBox="1">
          <a:spLocks noChangeArrowheads="1"/>
        </xdr:cNvSpPr>
      </xdr:nvSpPr>
      <xdr:spPr bwMode="auto">
        <a:xfrm>
          <a:off x="5270322" y="12564439"/>
          <a:ext cx="2205406" cy="127619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en-US" sz="1000" b="0" i="0" strike="noStrike">
              <a:solidFill>
                <a:srgbClr val="000000"/>
              </a:solidFill>
              <a:latin typeface="Arial"/>
              <a:cs typeface="Arial"/>
            </a:rPr>
            <a:t>Dry Camps are not a lot of fun.  Fewer points to more dry camps.</a:t>
          </a:r>
        </a:p>
        <a:p>
          <a:pPr algn="l" rtl="0">
            <a:lnSpc>
              <a:spcPts val="1000"/>
            </a:lnSpc>
            <a:defRPr sz="1000"/>
          </a:pPr>
          <a:endParaRPr lang="en-US" sz="1000" b="0" i="0" strike="noStrike">
            <a:solidFill>
              <a:srgbClr val="000000"/>
            </a:solidFill>
            <a:latin typeface="Arial"/>
            <a:cs typeface="Arial"/>
          </a:endParaRPr>
        </a:p>
        <a:p>
          <a:pPr algn="l" rtl="0">
            <a:lnSpc>
              <a:spcPts val="1000"/>
            </a:lnSpc>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47625</xdr:colOff>
      <xdr:row>97</xdr:row>
      <xdr:rowOff>42809</xdr:rowOff>
    </xdr:from>
    <xdr:to>
      <xdr:col>7</xdr:col>
      <xdr:colOff>420973</xdr:colOff>
      <xdr:row>104</xdr:row>
      <xdr:rowOff>119908</xdr:rowOff>
    </xdr:to>
    <xdr:sp macro="" textlink="">
      <xdr:nvSpPr>
        <xdr:cNvPr id="2064" name="Text 16">
          <a:extLst>
            <a:ext uri="{FF2B5EF4-FFF2-40B4-BE49-F238E27FC236}">
              <a16:creationId xmlns:a16="http://schemas.microsoft.com/office/drawing/2014/main" id="{00000000-0008-0000-0800-000010080000}"/>
            </a:ext>
          </a:extLst>
        </xdr:cNvPr>
        <xdr:cNvSpPr txBox="1">
          <a:spLocks noChangeArrowheads="1"/>
        </xdr:cNvSpPr>
      </xdr:nvSpPr>
      <xdr:spPr bwMode="auto">
        <a:xfrm>
          <a:off x="5270322" y="13902219"/>
          <a:ext cx="2203432" cy="120083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Two few campsites, lots of sitting around; too many, no rest.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76200</xdr:colOff>
      <xdr:row>121</xdr:row>
      <xdr:rowOff>108585</xdr:rowOff>
    </xdr:from>
    <xdr:to>
      <xdr:col>7</xdr:col>
      <xdr:colOff>299117</xdr:colOff>
      <xdr:row>132</xdr:row>
      <xdr:rowOff>38084</xdr:rowOff>
    </xdr:to>
    <xdr:sp macro="" textlink="">
      <xdr:nvSpPr>
        <xdr:cNvPr id="2065" name="Text Box 17">
          <a:extLst>
            <a:ext uri="{FF2B5EF4-FFF2-40B4-BE49-F238E27FC236}">
              <a16:creationId xmlns:a16="http://schemas.microsoft.com/office/drawing/2014/main" id="{00000000-0008-0000-0800-000011080000}"/>
            </a:ext>
          </a:extLst>
        </xdr:cNvPr>
        <xdr:cNvSpPr txBox="1">
          <a:spLocks noChangeArrowheads="1"/>
        </xdr:cNvSpPr>
      </xdr:nvSpPr>
      <xdr:spPr bwMode="auto">
        <a:xfrm>
          <a:off x="5298897" y="15819484"/>
          <a:ext cx="2053001" cy="170607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Total  altitude gained.  Don't go overboard.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FF0000"/>
              </a:solidFill>
              <a:latin typeface="Arial"/>
              <a:cs typeface="Arial"/>
            </a:rPr>
            <a:t>Personal preference — SCC</a:t>
          </a:r>
        </a:p>
      </xdr:txBody>
    </xdr:sp>
    <xdr:clientData/>
  </xdr:twoCellAnchor>
  <xdr:twoCellAnchor>
    <xdr:from>
      <xdr:col>8</xdr:col>
      <xdr:colOff>28575</xdr:colOff>
      <xdr:row>107</xdr:row>
      <xdr:rowOff>57150</xdr:rowOff>
    </xdr:from>
    <xdr:to>
      <xdr:col>9</xdr:col>
      <xdr:colOff>457200</xdr:colOff>
      <xdr:row>107</xdr:row>
      <xdr:rowOff>57150</xdr:rowOff>
    </xdr:to>
    <xdr:sp macro="" textlink="">
      <xdr:nvSpPr>
        <xdr:cNvPr id="1147763" name="Line 19">
          <a:extLst>
            <a:ext uri="{FF2B5EF4-FFF2-40B4-BE49-F238E27FC236}">
              <a16:creationId xmlns:a16="http://schemas.microsoft.com/office/drawing/2014/main" id="{00000000-0008-0000-0800-000073831100}"/>
            </a:ext>
          </a:extLst>
        </xdr:cNvPr>
        <xdr:cNvSpPr>
          <a:spLocks noChangeShapeType="1"/>
        </xdr:cNvSpPr>
      </xdr:nvSpPr>
      <xdr:spPr bwMode="auto">
        <a:xfrm>
          <a:off x="8065963" y="13274425"/>
          <a:ext cx="1413231" cy="0"/>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38100</xdr:colOff>
      <xdr:row>79</xdr:row>
      <xdr:rowOff>123825</xdr:rowOff>
    </xdr:from>
    <xdr:to>
      <xdr:col>19</xdr:col>
      <xdr:colOff>727753</xdr:colOff>
      <xdr:row>107</xdr:row>
      <xdr:rowOff>123825</xdr:rowOff>
    </xdr:to>
    <xdr:graphicFrame macro="">
      <xdr:nvGraphicFramePr>
        <xdr:cNvPr id="1147764" name="Chart 21">
          <a:extLst>
            <a:ext uri="{FF2B5EF4-FFF2-40B4-BE49-F238E27FC236}">
              <a16:creationId xmlns:a16="http://schemas.microsoft.com/office/drawing/2014/main" id="{00000000-0008-0000-0800-000074831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457200</xdr:colOff>
      <xdr:row>74</xdr:row>
      <xdr:rowOff>142875</xdr:rowOff>
    </xdr:from>
    <xdr:to>
      <xdr:col>19</xdr:col>
      <xdr:colOff>495300</xdr:colOff>
      <xdr:row>132</xdr:row>
      <xdr:rowOff>152400</xdr:rowOff>
    </xdr:to>
    <xdr:grpSp>
      <xdr:nvGrpSpPr>
        <xdr:cNvPr id="1147765" name="Group 26">
          <a:extLst>
            <a:ext uri="{FF2B5EF4-FFF2-40B4-BE49-F238E27FC236}">
              <a16:creationId xmlns:a16="http://schemas.microsoft.com/office/drawing/2014/main" id="{00000000-0008-0000-0800-000075831100}"/>
            </a:ext>
          </a:extLst>
        </xdr:cNvPr>
        <xdr:cNvGrpSpPr>
          <a:grpSpLocks/>
        </xdr:cNvGrpSpPr>
      </xdr:nvGrpSpPr>
      <xdr:grpSpPr bwMode="auto">
        <a:xfrm>
          <a:off x="7505700" y="12513469"/>
          <a:ext cx="8420100" cy="9677400"/>
          <a:chOff x="576" y="827"/>
          <a:chExt cx="819" cy="530"/>
        </a:xfrm>
      </xdr:grpSpPr>
      <xdr:sp macro="" textlink="">
        <xdr:nvSpPr>
          <xdr:cNvPr id="1147772" name="AutoShape 23">
            <a:extLst>
              <a:ext uri="{FF2B5EF4-FFF2-40B4-BE49-F238E27FC236}">
                <a16:creationId xmlns:a16="http://schemas.microsoft.com/office/drawing/2014/main" id="{00000000-0008-0000-0800-00007C831100}"/>
              </a:ext>
            </a:extLst>
          </xdr:cNvPr>
          <xdr:cNvSpPr>
            <a:spLocks/>
          </xdr:cNvSpPr>
        </xdr:nvSpPr>
        <xdr:spPr bwMode="auto">
          <a:xfrm>
            <a:off x="576" y="827"/>
            <a:ext cx="59" cy="530"/>
          </a:xfrm>
          <a:prstGeom prst="leftBrace">
            <a:avLst>
              <a:gd name="adj1" fmla="val 7485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147773" name="Line 24">
            <a:extLst>
              <a:ext uri="{FF2B5EF4-FFF2-40B4-BE49-F238E27FC236}">
                <a16:creationId xmlns:a16="http://schemas.microsoft.com/office/drawing/2014/main" id="{00000000-0008-0000-0800-00007D831100}"/>
              </a:ext>
            </a:extLst>
          </xdr:cNvPr>
          <xdr:cNvSpPr>
            <a:spLocks noChangeShapeType="1"/>
          </xdr:cNvSpPr>
        </xdr:nvSpPr>
        <xdr:spPr bwMode="auto">
          <a:xfrm>
            <a:off x="635" y="827"/>
            <a:ext cx="75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7774" name="Line 25">
            <a:extLst>
              <a:ext uri="{FF2B5EF4-FFF2-40B4-BE49-F238E27FC236}">
                <a16:creationId xmlns:a16="http://schemas.microsoft.com/office/drawing/2014/main" id="{00000000-0008-0000-0800-00007E831100}"/>
              </a:ext>
            </a:extLst>
          </xdr:cNvPr>
          <xdr:cNvSpPr>
            <a:spLocks noChangeShapeType="1"/>
          </xdr:cNvSpPr>
        </xdr:nvSpPr>
        <xdr:spPr bwMode="auto">
          <a:xfrm>
            <a:off x="638" y="1357"/>
            <a:ext cx="75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7</xdr:col>
      <xdr:colOff>476250</xdr:colOff>
      <xdr:row>62</xdr:row>
      <xdr:rowOff>38100</xdr:rowOff>
    </xdr:from>
    <xdr:to>
      <xdr:col>7</xdr:col>
      <xdr:colOff>866775</xdr:colOff>
      <xdr:row>65</xdr:row>
      <xdr:rowOff>123825</xdr:rowOff>
    </xdr:to>
    <xdr:sp macro="" textlink="">
      <xdr:nvSpPr>
        <xdr:cNvPr id="1147766" name="AutoShape 27">
          <a:extLst>
            <a:ext uri="{FF2B5EF4-FFF2-40B4-BE49-F238E27FC236}">
              <a16:creationId xmlns:a16="http://schemas.microsoft.com/office/drawing/2014/main" id="{00000000-0008-0000-0800-000076831100}"/>
            </a:ext>
          </a:extLst>
        </xdr:cNvPr>
        <xdr:cNvSpPr>
          <a:spLocks/>
        </xdr:cNvSpPr>
      </xdr:nvSpPr>
      <xdr:spPr bwMode="auto">
        <a:xfrm>
          <a:off x="7529031" y="8075488"/>
          <a:ext cx="390525" cy="567326"/>
        </a:xfrm>
        <a:prstGeom prst="leftBrace">
          <a:avLst>
            <a:gd name="adj1" fmla="val 8198"/>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76200</xdr:colOff>
      <xdr:row>133</xdr:row>
      <xdr:rowOff>36195</xdr:rowOff>
    </xdr:from>
    <xdr:to>
      <xdr:col>7</xdr:col>
      <xdr:colOff>830882</xdr:colOff>
      <xdr:row>136</xdr:row>
      <xdr:rowOff>47679</xdr:rowOff>
    </xdr:to>
    <xdr:sp macro="" textlink="">
      <xdr:nvSpPr>
        <xdr:cNvPr id="2076" name="Text Box 28">
          <a:extLst>
            <a:ext uri="{FF2B5EF4-FFF2-40B4-BE49-F238E27FC236}">
              <a16:creationId xmlns:a16="http://schemas.microsoft.com/office/drawing/2014/main" id="{00000000-0008-0000-0800-00001C080000}"/>
            </a:ext>
          </a:extLst>
        </xdr:cNvPr>
        <xdr:cNvSpPr txBox="1">
          <a:spLocks noChangeArrowheads="1"/>
        </xdr:cNvSpPr>
      </xdr:nvSpPr>
      <xdr:spPr bwMode="auto">
        <a:xfrm>
          <a:off x="5298897" y="17684201"/>
          <a:ext cx="2584766" cy="49308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en-US" sz="1000" b="0" i="0" strike="noStrike">
              <a:solidFill>
                <a:srgbClr val="000000"/>
              </a:solidFill>
              <a:latin typeface="Arial"/>
              <a:cs typeface="Arial"/>
            </a:rPr>
            <a:t>Points for average daily altitude change.  Want to have some but fewer points for too much.</a:t>
          </a:r>
        </a:p>
        <a:p>
          <a:pPr algn="l" rtl="0">
            <a:lnSpc>
              <a:spcPts val="900"/>
            </a:lnSpc>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38101</xdr:colOff>
      <xdr:row>71</xdr:row>
      <xdr:rowOff>22689</xdr:rowOff>
    </xdr:from>
    <xdr:to>
      <xdr:col>7</xdr:col>
      <xdr:colOff>460197</xdr:colOff>
      <xdr:row>79</xdr:row>
      <xdr:rowOff>160533</xdr:rowOff>
    </xdr:to>
    <xdr:sp macro="" textlink="">
      <xdr:nvSpPr>
        <xdr:cNvPr id="2077" name="Text 14">
          <a:extLst>
            <a:ext uri="{FF2B5EF4-FFF2-40B4-BE49-F238E27FC236}">
              <a16:creationId xmlns:a16="http://schemas.microsoft.com/office/drawing/2014/main" id="{00000000-0008-0000-0800-00001D080000}"/>
            </a:ext>
          </a:extLst>
        </xdr:cNvPr>
        <xdr:cNvSpPr txBox="1">
          <a:spLocks noChangeArrowheads="1"/>
        </xdr:cNvSpPr>
      </xdr:nvSpPr>
      <xdr:spPr bwMode="auto">
        <a:xfrm>
          <a:off x="5260798" y="9676116"/>
          <a:ext cx="2252180" cy="142211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100"/>
            </a:lnSpc>
            <a:defRPr sz="1000"/>
          </a:pPr>
          <a:r>
            <a:rPr lang="en-US" sz="1000" b="0" i="0" strike="noStrike">
              <a:solidFill>
                <a:srgbClr val="000000"/>
              </a:solidFill>
              <a:latin typeface="Arial"/>
              <a:cs typeface="Arial"/>
            </a:rPr>
            <a:t>Don’t like to carry a lot of food initially — right out of camping HQ. </a:t>
          </a:r>
          <a:br>
            <a:rPr lang="en-US" sz="1000" b="0" i="0" strike="noStrike">
              <a:solidFill>
                <a:srgbClr val="000000"/>
              </a:solidFill>
              <a:latin typeface="Arial"/>
              <a:cs typeface="Arial"/>
            </a:rPr>
          </a:br>
          <a:r>
            <a:rPr lang="en-US" sz="1000" b="0" i="0" strike="noStrike">
              <a:solidFill>
                <a:srgbClr val="000000"/>
              </a:solidFill>
              <a:latin typeface="Arial"/>
              <a:cs typeface="Arial"/>
            </a:rPr>
            <a:t>More points to min # days to 1st food pick</a:t>
          </a:r>
          <a:r>
            <a:rPr lang="en-US" sz="1000" b="0" i="0" strike="noStrike" baseline="0">
              <a:solidFill>
                <a:srgbClr val="000000"/>
              </a:solidFill>
              <a:latin typeface="Arial"/>
              <a:cs typeface="Arial"/>
            </a:rPr>
            <a:t> up after Base.</a:t>
          </a:r>
          <a:endParaRPr lang="en-US" sz="1000" b="0" i="0" strike="noStrike">
            <a:solidFill>
              <a:srgbClr val="000000"/>
            </a:solidFill>
            <a:latin typeface="Arial"/>
            <a:cs typeface="Arial"/>
          </a:endParaRPr>
        </a:p>
        <a:p>
          <a:pPr algn="l" rtl="0">
            <a:lnSpc>
              <a:spcPts val="1100"/>
            </a:lnSpc>
            <a:defRPr sz="1000"/>
          </a:pPr>
          <a:r>
            <a:rPr lang="en-US" sz="1000" b="1" i="0" strike="noStrike">
              <a:solidFill>
                <a:srgbClr val="FF0000"/>
              </a:solidFill>
              <a:latin typeface="Arial"/>
              <a:cs typeface="Arial"/>
            </a:rPr>
            <a:t>Personal </a:t>
          </a:r>
          <a:r>
            <a:rPr lang="en-US" sz="1000" b="0" i="0" strike="noStrike">
              <a:solidFill>
                <a:srgbClr val="FF0000"/>
              </a:solidFill>
              <a:latin typeface="Arial"/>
              <a:cs typeface="Arial"/>
            </a:rPr>
            <a:t>preference — SCC</a:t>
          </a:r>
        </a:p>
      </xdr:txBody>
    </xdr:sp>
    <xdr:clientData/>
  </xdr:twoCellAnchor>
  <xdr:twoCellAnchor>
    <xdr:from>
      <xdr:col>4</xdr:col>
      <xdr:colOff>73961</xdr:colOff>
      <xdr:row>141</xdr:row>
      <xdr:rowOff>3175</xdr:rowOff>
    </xdr:from>
    <xdr:to>
      <xdr:col>7</xdr:col>
      <xdr:colOff>839917</xdr:colOff>
      <xdr:row>142</xdr:row>
      <xdr:rowOff>1911</xdr:rowOff>
    </xdr:to>
    <xdr:sp macro="" textlink="">
      <xdr:nvSpPr>
        <xdr:cNvPr id="2078" name="Text Box 30">
          <a:extLst>
            <a:ext uri="{FF2B5EF4-FFF2-40B4-BE49-F238E27FC236}">
              <a16:creationId xmlns:a16="http://schemas.microsoft.com/office/drawing/2014/main" id="{00000000-0008-0000-0800-00001E080000}"/>
            </a:ext>
          </a:extLst>
        </xdr:cNvPr>
        <xdr:cNvSpPr txBox="1">
          <a:spLocks noChangeArrowheads="1"/>
        </xdr:cNvSpPr>
      </xdr:nvSpPr>
      <xdr:spPr bwMode="auto">
        <a:xfrm>
          <a:off x="5296658" y="19128091"/>
          <a:ext cx="2596040" cy="16997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How much should mileage count.</a:t>
          </a:r>
        </a:p>
      </xdr:txBody>
    </xdr:sp>
    <xdr:clientData/>
  </xdr:twoCellAnchor>
  <xdr:twoCellAnchor>
    <xdr:from>
      <xdr:col>4</xdr:col>
      <xdr:colOff>76200</xdr:colOff>
      <xdr:row>139</xdr:row>
      <xdr:rowOff>0</xdr:rowOff>
    </xdr:from>
    <xdr:to>
      <xdr:col>7</xdr:col>
      <xdr:colOff>830882</xdr:colOff>
      <xdr:row>141</xdr:row>
      <xdr:rowOff>0</xdr:rowOff>
    </xdr:to>
    <xdr:sp macro="" textlink="">
      <xdr:nvSpPr>
        <xdr:cNvPr id="22" name="Text Box 18">
          <a:extLst>
            <a:ext uri="{FF2B5EF4-FFF2-40B4-BE49-F238E27FC236}">
              <a16:creationId xmlns:a16="http://schemas.microsoft.com/office/drawing/2014/main" id="{00000000-0008-0000-0800-000016000000}"/>
            </a:ext>
          </a:extLst>
        </xdr:cNvPr>
        <xdr:cNvSpPr txBox="1">
          <a:spLocks noChangeArrowheads="1"/>
        </xdr:cNvSpPr>
      </xdr:nvSpPr>
      <xdr:spPr bwMode="auto">
        <a:xfrm>
          <a:off x="5298897" y="18621910"/>
          <a:ext cx="2584766" cy="33192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500 points to hike in via the Tooth.</a:t>
          </a:r>
        </a:p>
        <a:p>
          <a:pPr algn="l" rtl="0">
            <a:defRPr sz="1000"/>
          </a:pPr>
          <a:r>
            <a:rPr lang="en-US" sz="1000" b="1" i="0" strike="noStrike">
              <a:solidFill>
                <a:srgbClr val="000000"/>
              </a:solidFill>
              <a:latin typeface="Arial"/>
              <a:cs typeface="Arial"/>
            </a:rPr>
            <a:t>Set in preferences.</a:t>
          </a:r>
        </a:p>
      </xdr:txBody>
    </xdr:sp>
    <xdr:clientData/>
  </xdr:twoCellAnchor>
  <xdr:twoCellAnchor>
    <xdr:from>
      <xdr:col>15</xdr:col>
      <xdr:colOff>35561</xdr:colOff>
      <xdr:row>107</xdr:row>
      <xdr:rowOff>150495</xdr:rowOff>
    </xdr:from>
    <xdr:to>
      <xdr:col>19</xdr:col>
      <xdr:colOff>727753</xdr:colOff>
      <xdr:row>132</xdr:row>
      <xdr:rowOff>74915</xdr:rowOff>
    </xdr:to>
    <xdr:sp macro="" textlink="">
      <xdr:nvSpPr>
        <xdr:cNvPr id="2070" name="Text Box 22">
          <a:extLst>
            <a:ext uri="{FF2B5EF4-FFF2-40B4-BE49-F238E27FC236}">
              <a16:creationId xmlns:a16="http://schemas.microsoft.com/office/drawing/2014/main" id="{00000000-0008-0000-0800-000016080000}"/>
            </a:ext>
          </a:extLst>
        </xdr:cNvPr>
        <xdr:cNvSpPr txBox="1">
          <a:spLocks noChangeArrowheads="1"/>
        </xdr:cNvSpPr>
      </xdr:nvSpPr>
      <xdr:spPr bwMode="auto">
        <a:xfrm>
          <a:off x="12878258" y="13046703"/>
          <a:ext cx="3153708" cy="4034083"/>
        </a:xfrm>
        <a:prstGeom prst="rect">
          <a:avLst/>
        </a:prstGeom>
        <a:noFill/>
        <a:ln w="9525">
          <a:solidFill>
            <a:srgbClr val="000000"/>
          </a:solidFill>
          <a:miter lim="800000"/>
          <a:headEnd/>
          <a:tailEnd/>
        </a:ln>
      </xdr:spPr>
      <xdr:txBody>
        <a:bodyPr vertOverflow="clip" wrap="square" lIns="27432" tIns="27432" rIns="0" bIns="0" anchor="t" upright="1"/>
        <a:lstStyle/>
        <a:p>
          <a:pPr algn="l" rtl="0">
            <a:defRPr sz="1000"/>
          </a:pPr>
          <a:r>
            <a:rPr lang="en-US" sz="1100" b="1" i="0" strike="noStrike">
              <a:solidFill>
                <a:srgbClr val="000000"/>
              </a:solidFill>
              <a:latin typeface="Arial"/>
              <a:cs typeface="Arial"/>
            </a:rPr>
            <a:t>NOTE:</a:t>
          </a:r>
          <a:r>
            <a:rPr lang="en-US" sz="1100" b="0" i="0" strike="noStrike">
              <a:solidFill>
                <a:srgbClr val="000000"/>
              </a:solidFill>
              <a:latin typeface="Arial"/>
              <a:cs typeface="Arial"/>
            </a:rPr>
            <a:t>  You can adjust these values by changing the red values in the green area.  The maximum value is set with the "Max" factor.  The minimum Difficulty value can be set by changing the minDifficult value.  </a:t>
          </a:r>
          <a:br>
            <a:rPr lang="en-US" sz="1100" b="0" i="0" strike="noStrike">
              <a:solidFill>
                <a:srgbClr val="000000"/>
              </a:solidFill>
              <a:latin typeface="Arial"/>
              <a:cs typeface="Arial"/>
            </a:rPr>
          </a:br>
          <a:br>
            <a:rPr lang="en-US" sz="1100" b="0" i="0" strike="noStrike">
              <a:solidFill>
                <a:srgbClr val="000000"/>
              </a:solidFill>
              <a:latin typeface="Arial"/>
              <a:cs typeface="Arial"/>
            </a:rPr>
          </a:br>
          <a:r>
            <a:rPr lang="en-US" sz="1100" b="0" i="0" strike="noStrike">
              <a:solidFill>
                <a:srgbClr val="000000"/>
              </a:solidFill>
              <a:latin typeface="Arial"/>
              <a:cs typeface="Arial"/>
            </a:rPr>
            <a:t>Concept is that crews with lower skill should not do itineraries that are more difficult.  For example, with the default values of "6000, 1000, 0"; a strong crew (10)</a:t>
          </a:r>
          <a:r>
            <a:rPr lang="en-US" sz="1100" b="0" i="0" strike="noStrike" baseline="0">
              <a:solidFill>
                <a:srgbClr val="000000"/>
              </a:solidFill>
              <a:latin typeface="Arial"/>
              <a:cs typeface="Arial"/>
            </a:rPr>
            <a:t> will get the least points for a "Challenging" itinerary &amp; most for a "Super Strenuous".  </a:t>
          </a:r>
        </a:p>
        <a:p>
          <a:pPr algn="l" rtl="0">
            <a:defRPr sz="1000"/>
          </a:pPr>
          <a:endParaRPr lang="en-US" sz="1100" b="0" i="0" strike="noStrike" baseline="0">
            <a:solidFill>
              <a:srgbClr val="000000"/>
            </a:solidFill>
            <a:latin typeface="Arial"/>
            <a:cs typeface="Arial"/>
          </a:endParaRPr>
        </a:p>
        <a:p>
          <a:pPr algn="l" rtl="0">
            <a:defRPr sz="1000"/>
          </a:pPr>
          <a:r>
            <a:rPr lang="en-US" sz="1100" b="0" i="0" strike="noStrike" baseline="0">
              <a:solidFill>
                <a:srgbClr val="000000"/>
              </a:solidFill>
              <a:latin typeface="Arial"/>
              <a:cs typeface="Arial"/>
            </a:rPr>
            <a:t>If you have a strong crew and don't want to do a difficult  trek but prefer to do programs on a challenging itinerary, you could use "0,500, 500".  </a:t>
          </a:r>
        </a:p>
        <a:p>
          <a:pPr algn="l" rtl="0">
            <a:defRPr sz="1000"/>
          </a:pPr>
          <a:endParaRPr lang="en-US" sz="1100" b="0" i="0" strike="noStrike" baseline="0">
            <a:solidFill>
              <a:srgbClr val="000000"/>
            </a:solidFill>
            <a:latin typeface="Arial"/>
            <a:cs typeface="Arial"/>
          </a:endParaRPr>
        </a:p>
        <a:p>
          <a:pPr algn="l" rtl="0">
            <a:defRPr sz="1000"/>
          </a:pPr>
          <a:r>
            <a:rPr lang="en-US" sz="1100" b="0" i="0" strike="noStrike" baseline="0">
              <a:solidFill>
                <a:srgbClr val="000000"/>
              </a:solidFill>
              <a:latin typeface="Arial"/>
              <a:cs typeface="Arial"/>
            </a:rPr>
            <a:t>"0, 0, 0" removes this factor from the calculation.  "500, 500, 500" would reduce the sensitivity of this factor so others could be more important.</a:t>
          </a:r>
        </a:p>
        <a:p>
          <a:pPr algn="l" rtl="0">
            <a:defRPr sz="1000"/>
          </a:pPr>
          <a:endParaRPr lang="en-US" sz="1100" b="0" i="0" strike="noStrike" baseline="0">
            <a:solidFill>
              <a:srgbClr val="000000"/>
            </a:solidFill>
            <a:latin typeface="Arial"/>
            <a:cs typeface="Arial"/>
          </a:endParaRPr>
        </a:p>
        <a:p>
          <a:pPr algn="l" rtl="0">
            <a:defRPr sz="1000"/>
          </a:pPr>
          <a:r>
            <a:rPr lang="en-US" sz="1100" b="0" i="0" strike="noStrike" baseline="0">
              <a:solidFill>
                <a:srgbClr val="000000"/>
              </a:solidFill>
              <a:latin typeface="Arial"/>
              <a:cs typeface="Arial"/>
            </a:rPr>
            <a:t>Try using values other than 0, 500 to see the impact they have on the chart above and the calculated "Difficulty" factors. </a:t>
          </a:r>
          <a:endParaRPr lang="en-US" sz="11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4</xdr:col>
          <xdr:colOff>533400</xdr:colOff>
          <xdr:row>18</xdr:row>
          <xdr:rowOff>142875</xdr:rowOff>
        </xdr:from>
        <xdr:to>
          <xdr:col>5</xdr:col>
          <xdr:colOff>514350</xdr:colOff>
          <xdr:row>20</xdr:row>
          <xdr:rowOff>19050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8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Total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523875</xdr:colOff>
          <xdr:row>18</xdr:row>
          <xdr:rowOff>142875</xdr:rowOff>
        </xdr:from>
        <xdr:to>
          <xdr:col>6</xdr:col>
          <xdr:colOff>400050</xdr:colOff>
          <xdr:row>20</xdr:row>
          <xdr:rowOff>19050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8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Average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542925</xdr:colOff>
          <xdr:row>20</xdr:row>
          <xdr:rowOff>28575</xdr:rowOff>
        </xdr:from>
        <xdr:to>
          <xdr:col>5</xdr:col>
          <xdr:colOff>514350</xdr:colOff>
          <xdr:row>21</xdr:row>
          <xdr:rowOff>57150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8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Median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523875</xdr:colOff>
          <xdr:row>20</xdr:row>
          <xdr:rowOff>28575</xdr:rowOff>
        </xdr:from>
        <xdr:to>
          <xdr:col>6</xdr:col>
          <xdr:colOff>400050</xdr:colOff>
          <xdr:row>21</xdr:row>
          <xdr:rowOff>57150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8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Mode</a:t>
              </a:r>
            </a:p>
          </xdr:txBody>
        </xdr:sp>
        <xdr:clientData fPrintsWithSheet="0"/>
      </xdr:twoCellAnchor>
    </mc:Choice>
    <mc:Fallback/>
  </mc:AlternateContent>
  <xdr:twoCellAnchor>
    <xdr:from>
      <xdr:col>4</xdr:col>
      <xdr:colOff>42809</xdr:colOff>
      <xdr:row>65</xdr:row>
      <xdr:rowOff>0</xdr:rowOff>
    </xdr:from>
    <xdr:to>
      <xdr:col>7</xdr:col>
      <xdr:colOff>464905</xdr:colOff>
      <xdr:row>70</xdr:row>
      <xdr:rowOff>149832</xdr:rowOff>
    </xdr:to>
    <xdr:sp macro="" textlink="">
      <xdr:nvSpPr>
        <xdr:cNvPr id="27" name="Text 14">
          <a:extLst>
            <a:ext uri="{FF2B5EF4-FFF2-40B4-BE49-F238E27FC236}">
              <a16:creationId xmlns:a16="http://schemas.microsoft.com/office/drawing/2014/main" id="{00000000-0008-0000-0800-00001B000000}"/>
            </a:ext>
          </a:extLst>
        </xdr:cNvPr>
        <xdr:cNvSpPr txBox="1">
          <a:spLocks noChangeArrowheads="1"/>
        </xdr:cNvSpPr>
      </xdr:nvSpPr>
      <xdr:spPr bwMode="auto">
        <a:xfrm>
          <a:off x="5265506" y="8690225"/>
          <a:ext cx="2252180" cy="952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100"/>
            </a:lnSpc>
            <a:defRPr sz="1000"/>
          </a:pPr>
          <a:r>
            <a:rPr lang="en-US" sz="1000" b="0" i="0" strike="noStrike">
              <a:solidFill>
                <a:srgbClr val="000000"/>
              </a:solidFill>
              <a:latin typeface="Arial"/>
              <a:cs typeface="Arial"/>
            </a:rPr>
            <a:t>Prefer not carrying</a:t>
          </a:r>
          <a:r>
            <a:rPr lang="en-US" sz="1000" b="0" i="0" strike="noStrike" baseline="0">
              <a:solidFill>
                <a:srgbClr val="000000"/>
              </a:solidFill>
              <a:latin typeface="Arial"/>
              <a:cs typeface="Arial"/>
            </a:rPr>
            <a:t> many days of food on the trail. </a:t>
          </a:r>
          <a:br>
            <a:rPr lang="en-US" sz="1000" b="0" i="0" strike="noStrike" baseline="0">
              <a:solidFill>
                <a:srgbClr val="000000"/>
              </a:solidFill>
              <a:latin typeface="Arial"/>
              <a:cs typeface="Arial"/>
            </a:rPr>
          </a:br>
          <a:r>
            <a:rPr lang="en-US" sz="1000" b="0" i="0" strike="noStrike" baseline="0">
              <a:solidFill>
                <a:srgbClr val="000000"/>
              </a:solidFill>
              <a:latin typeface="Arial"/>
              <a:cs typeface="Arial"/>
            </a:rPr>
            <a:t>More points to fewer max days of food.</a:t>
          </a:r>
          <a:endParaRPr lang="en-US" sz="1000" b="0" i="0" strike="noStrike">
            <a:solidFill>
              <a:srgbClr val="000000"/>
            </a:solidFill>
            <a:latin typeface="Arial"/>
            <a:cs typeface="Arial"/>
          </a:endParaRPr>
        </a:p>
        <a:p>
          <a:pPr algn="l" rtl="0">
            <a:lnSpc>
              <a:spcPts val="1100"/>
            </a:lnSpc>
            <a:defRPr sz="1000"/>
          </a:pPr>
          <a:r>
            <a:rPr lang="en-US" sz="1000" b="1" i="0" strike="noStrike">
              <a:solidFill>
                <a:srgbClr val="FF0000"/>
              </a:solidFill>
              <a:latin typeface="Arial"/>
              <a:cs typeface="Arial"/>
            </a:rPr>
            <a:t>Personal </a:t>
          </a:r>
          <a:r>
            <a:rPr lang="en-US" sz="1000" b="0" i="0" strike="noStrike">
              <a:solidFill>
                <a:srgbClr val="FF0000"/>
              </a:solidFill>
              <a:latin typeface="Arial"/>
              <a:cs typeface="Arial"/>
            </a:rPr>
            <a:t>preference — SCC</a:t>
          </a:r>
        </a:p>
      </xdr:txBody>
    </xdr:sp>
    <xdr:clientData/>
  </xdr:twoCellAnchor>
  <xdr:twoCellAnchor>
    <xdr:from>
      <xdr:col>4</xdr:col>
      <xdr:colOff>74914</xdr:colOff>
      <xdr:row>137</xdr:row>
      <xdr:rowOff>0</xdr:rowOff>
    </xdr:from>
    <xdr:to>
      <xdr:col>7</xdr:col>
      <xdr:colOff>829596</xdr:colOff>
      <xdr:row>139</xdr:row>
      <xdr:rowOff>153</xdr:rowOff>
    </xdr:to>
    <xdr:sp macro="" textlink="">
      <xdr:nvSpPr>
        <xdr:cNvPr id="28" name="Text Box 18">
          <a:extLst>
            <a:ext uri="{FF2B5EF4-FFF2-40B4-BE49-F238E27FC236}">
              <a16:creationId xmlns:a16="http://schemas.microsoft.com/office/drawing/2014/main" id="{00000000-0008-0000-0800-00001C000000}"/>
            </a:ext>
          </a:extLst>
        </xdr:cNvPr>
        <xdr:cNvSpPr txBox="1">
          <a:spLocks noChangeArrowheads="1"/>
        </xdr:cNvSpPr>
      </xdr:nvSpPr>
      <xdr:spPr bwMode="auto">
        <a:xfrm>
          <a:off x="5297611" y="18300843"/>
          <a:ext cx="2584766" cy="33192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500 points to hike out from Base Camp.</a:t>
          </a:r>
        </a:p>
        <a:p>
          <a:pPr algn="l" rtl="0">
            <a:defRPr sz="1000"/>
          </a:pPr>
          <a:r>
            <a:rPr lang="en-US" sz="1000" b="1" i="0" strike="noStrike">
              <a:solidFill>
                <a:srgbClr val="000000"/>
              </a:solidFill>
              <a:latin typeface="Arial"/>
              <a:cs typeface="Arial"/>
            </a:rPr>
            <a:t>Set in preferences.</a:t>
          </a:r>
        </a:p>
      </xdr:txBody>
    </xdr:sp>
    <xdr:clientData/>
  </xdr:twoCellAnchor>
  <xdr:twoCellAnchor>
    <xdr:from>
      <xdr:col>4</xdr:col>
      <xdr:colOff>57153</xdr:colOff>
      <xdr:row>56</xdr:row>
      <xdr:rowOff>80771</xdr:rowOff>
    </xdr:from>
    <xdr:to>
      <xdr:col>7</xdr:col>
      <xdr:colOff>473872</xdr:colOff>
      <xdr:row>60</xdr:row>
      <xdr:rowOff>142874</xdr:rowOff>
    </xdr:to>
    <xdr:sp macro="" textlink="">
      <xdr:nvSpPr>
        <xdr:cNvPr id="2" name="Text 1">
          <a:extLst>
            <a:ext uri="{FF2B5EF4-FFF2-40B4-BE49-F238E27FC236}">
              <a16:creationId xmlns:a16="http://schemas.microsoft.com/office/drawing/2014/main" id="{00000000-0008-0000-0800-000002000000}"/>
            </a:ext>
          </a:extLst>
        </xdr:cNvPr>
        <xdr:cNvSpPr txBox="1">
          <a:spLocks noChangeArrowheads="1"/>
        </xdr:cNvSpPr>
      </xdr:nvSpPr>
      <xdr:spPr bwMode="auto">
        <a:xfrm>
          <a:off x="5283997" y="8415146"/>
          <a:ext cx="2238375" cy="728853"/>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Additional multiplier applied to peaks in the Program scores:</a:t>
          </a:r>
          <a:br>
            <a:rPr lang="en-US" sz="1000" b="1" i="0" strike="noStrike">
              <a:solidFill>
                <a:srgbClr val="000000"/>
              </a:solidFill>
              <a:latin typeface="Arial"/>
              <a:cs typeface="Arial"/>
            </a:rPr>
          </a:br>
          <a:r>
            <a:rPr lang="en-US" sz="1000" b="1" i="0" strike="noStrike">
              <a:solidFill>
                <a:srgbClr val="000000"/>
              </a:solidFill>
              <a:latin typeface="Arial"/>
              <a:cs typeface="Arial"/>
            </a:rPr>
            <a:t>     Program Factor</a:t>
          </a:r>
          <a:r>
            <a:rPr lang="en-US" sz="1000" b="1" i="0" strike="noStrike" baseline="0">
              <a:solidFill>
                <a:srgbClr val="000000"/>
              </a:solidFill>
              <a:latin typeface="Arial"/>
              <a:cs typeface="Arial"/>
            </a:rPr>
            <a:t> * Score * this</a:t>
          </a:r>
          <a:br>
            <a:rPr lang="en-US" sz="1000" b="1" i="0" strike="noStrike" baseline="0">
              <a:solidFill>
                <a:srgbClr val="000000"/>
              </a:solidFill>
              <a:latin typeface="Arial"/>
              <a:cs typeface="Arial"/>
            </a:rPr>
          </a:br>
          <a:r>
            <a:rPr lang="en-US" sz="1000" b="1" i="0" strike="noStrike" baseline="0">
              <a:solidFill>
                <a:srgbClr val="000000"/>
              </a:solidFill>
              <a:latin typeface="Arial"/>
              <a:cs typeface="Arial"/>
            </a:rPr>
            <a:t>Based on Preferences setting</a:t>
          </a:r>
          <a:endParaRPr lang="en-US" sz="1000" b="1"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580259</xdr:colOff>
      <xdr:row>2</xdr:row>
      <xdr:rowOff>32845</xdr:rowOff>
    </xdr:from>
    <xdr:ext cx="184731" cy="264560"/>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580259" y="187215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37</xdr:col>
      <xdr:colOff>262757</xdr:colOff>
      <xdr:row>27</xdr:row>
      <xdr:rowOff>65690</xdr:rowOff>
    </xdr:from>
    <xdr:to>
      <xdr:col>39</xdr:col>
      <xdr:colOff>262759</xdr:colOff>
      <xdr:row>28</xdr:row>
      <xdr:rowOff>426984</xdr:rowOff>
    </xdr:to>
    <xdr:sp macro="" textlink="">
      <xdr:nvSpPr>
        <xdr:cNvPr id="3" name="Callout: Bent Line 2">
          <a:extLst>
            <a:ext uri="{FF2B5EF4-FFF2-40B4-BE49-F238E27FC236}">
              <a16:creationId xmlns:a16="http://schemas.microsoft.com/office/drawing/2014/main" id="{9D4378C0-3439-01CB-51A5-03CE021D8C5E}"/>
            </a:ext>
          </a:extLst>
        </xdr:cNvPr>
        <xdr:cNvSpPr/>
      </xdr:nvSpPr>
      <xdr:spPr bwMode="auto">
        <a:xfrm>
          <a:off x="31760947" y="5802587"/>
          <a:ext cx="1270002" cy="536466"/>
        </a:xfrm>
        <a:prstGeom prst="borderCallout2">
          <a:avLst>
            <a:gd name="adj1" fmla="val 18750"/>
            <a:gd name="adj2" fmla="val -8333"/>
            <a:gd name="adj3" fmla="val 18750"/>
            <a:gd name="adj4" fmla="val -16667"/>
            <a:gd name="adj5" fmla="val -28526"/>
            <a:gd name="adj6" fmla="val -70947"/>
          </a:avLst>
        </a:prstGeom>
        <a:solidFill>
          <a:schemeClr val="tx2">
            <a:lumMod val="40000"/>
            <a:lumOff val="60000"/>
          </a:schemeClr>
        </a:solidFill>
        <a:ln w="9525" cap="flat" cmpd="sng" algn="ctr">
          <a:solidFill>
            <a:schemeClr val="accent1"/>
          </a:solidFill>
          <a:prstDash val="solid"/>
          <a:round/>
          <a:headEnd type="none" w="med" len="med"/>
          <a:tailEnd type="arrow" w="med" len="med"/>
        </a:ln>
        <a:effectLst/>
      </xdr:spPr>
      <xdr:txBody>
        <a:bodyPr vertOverflow="clip" wrap="square" lIns="18288" tIns="0" rIns="0" bIns="0" rtlCol="0" anchor="ctr" upright="1"/>
        <a:lstStyle/>
        <a:p>
          <a:pPr algn="ctr"/>
          <a:r>
            <a:rPr lang="en-US" sz="1100" b="1" kern="1200"/>
            <a:t>Enter Blue.  Goes to ItineraryPrograms worksheet</a:t>
          </a:r>
        </a:p>
      </xdr:txBody>
    </xdr:sp>
    <xdr:clientData/>
  </xdr:twoCellAnchor>
  <xdr:twoCellAnchor>
    <xdr:from>
      <xdr:col>28</xdr:col>
      <xdr:colOff>21893</xdr:colOff>
      <xdr:row>27</xdr:row>
      <xdr:rowOff>65689</xdr:rowOff>
    </xdr:from>
    <xdr:to>
      <xdr:col>29</xdr:col>
      <xdr:colOff>502739</xdr:colOff>
      <xdr:row>29</xdr:row>
      <xdr:rowOff>131380</xdr:rowOff>
    </xdr:to>
    <xdr:sp macro="" textlink="">
      <xdr:nvSpPr>
        <xdr:cNvPr id="6" name="Callout: Bent Line 5">
          <a:extLst>
            <a:ext uri="{FF2B5EF4-FFF2-40B4-BE49-F238E27FC236}">
              <a16:creationId xmlns:a16="http://schemas.microsoft.com/office/drawing/2014/main" id="{C24C2495-B02E-4FED-B989-D102C2F60F59}"/>
            </a:ext>
          </a:extLst>
        </xdr:cNvPr>
        <xdr:cNvSpPr/>
      </xdr:nvSpPr>
      <xdr:spPr bwMode="auto">
        <a:xfrm flipH="1">
          <a:off x="24327065" y="5802586"/>
          <a:ext cx="1301967" cy="766380"/>
        </a:xfrm>
        <a:prstGeom prst="borderCallout2">
          <a:avLst>
            <a:gd name="adj1" fmla="val 18750"/>
            <a:gd name="adj2" fmla="val -8333"/>
            <a:gd name="adj3" fmla="val 18750"/>
            <a:gd name="adj4" fmla="val -16667"/>
            <a:gd name="adj5" fmla="val -96565"/>
            <a:gd name="adj6" fmla="val -98747"/>
          </a:avLst>
        </a:prstGeom>
        <a:solidFill>
          <a:schemeClr val="accent6">
            <a:lumMod val="40000"/>
            <a:lumOff val="60000"/>
          </a:schemeClr>
        </a:solidFill>
        <a:ln w="9525" cap="flat" cmpd="sng" algn="ctr">
          <a:solidFill>
            <a:schemeClr val="accent6">
              <a:lumMod val="50000"/>
            </a:schemeClr>
          </a:solidFill>
          <a:prstDash val="solid"/>
          <a:round/>
          <a:headEnd type="none" w="med" len="med"/>
          <a:tailEnd type="arrow" w="med" len="med"/>
        </a:ln>
        <a:effectLst/>
      </xdr:spPr>
      <xdr:txBody>
        <a:bodyPr vertOverflow="clip" wrap="square" lIns="18288" tIns="0" rIns="0" bIns="0" rtlCol="0" anchor="ctr" upright="1"/>
        <a:lstStyle/>
        <a:p>
          <a:pPr algn="ctr"/>
          <a:r>
            <a:rPr lang="en-US" sz="1100" b="1" kern="1200"/>
            <a:t>Tan.  Comes from ItineraryPrograms worksheet.</a:t>
          </a:r>
          <a:br>
            <a:rPr lang="en-US" sz="1100" b="1" kern="1200"/>
          </a:br>
          <a:r>
            <a:rPr lang="en-US" sz="1100" b="1" kern="1200"/>
            <a:t>DO NOT ENTER HERE</a:t>
          </a:r>
        </a:p>
      </xdr:txBody>
    </xdr:sp>
    <xdr:clientData/>
  </xdr:twoCellAnchor>
  <xdr:twoCellAnchor>
    <xdr:from>
      <xdr:col>36</xdr:col>
      <xdr:colOff>261879</xdr:colOff>
      <xdr:row>29</xdr:row>
      <xdr:rowOff>54742</xdr:rowOff>
    </xdr:from>
    <xdr:to>
      <xdr:col>38</xdr:col>
      <xdr:colOff>612226</xdr:colOff>
      <xdr:row>33</xdr:row>
      <xdr:rowOff>10948</xdr:rowOff>
    </xdr:to>
    <xdr:sp macro="" textlink="">
      <xdr:nvSpPr>
        <xdr:cNvPr id="7" name="Callout: Bent Line 6">
          <a:extLst>
            <a:ext uri="{FF2B5EF4-FFF2-40B4-BE49-F238E27FC236}">
              <a16:creationId xmlns:a16="http://schemas.microsoft.com/office/drawing/2014/main" id="{47AF6D1A-B3A4-43D1-A503-1668AE49609D}"/>
            </a:ext>
          </a:extLst>
        </xdr:cNvPr>
        <xdr:cNvSpPr/>
      </xdr:nvSpPr>
      <xdr:spPr bwMode="auto">
        <a:xfrm>
          <a:off x="31125069" y="6492328"/>
          <a:ext cx="1620347" cy="624051"/>
        </a:xfrm>
        <a:prstGeom prst="borderCallout2">
          <a:avLst>
            <a:gd name="adj1" fmla="val 18750"/>
            <a:gd name="adj2" fmla="val -8333"/>
            <a:gd name="adj3" fmla="val 18750"/>
            <a:gd name="adj4" fmla="val -16667"/>
            <a:gd name="adj5" fmla="val -114133"/>
            <a:gd name="adj6" fmla="val -71949"/>
          </a:avLst>
        </a:prstGeom>
        <a:solidFill>
          <a:srgbClr val="FFBDBD"/>
        </a:solidFill>
        <a:ln w="9525" cap="flat" cmpd="sng" algn="ctr">
          <a:solidFill>
            <a:srgbClr val="FF4B4B"/>
          </a:solidFill>
          <a:prstDash val="solid"/>
          <a:round/>
          <a:headEnd type="none" w="med" len="med"/>
          <a:tailEnd type="arrow" w="med" len="med"/>
        </a:ln>
        <a:effectLst/>
      </xdr:spPr>
      <xdr:txBody>
        <a:bodyPr vertOverflow="clip" wrap="square" lIns="18288" tIns="0" rIns="0" bIns="0" rtlCol="0" anchor="ctr" upright="1"/>
        <a:lstStyle/>
        <a:p>
          <a:pPr algn="ctr"/>
          <a:r>
            <a:rPr lang="en-US" sz="1100" b="1" kern="1200"/>
            <a:t>If = "??" then col</a:t>
          </a:r>
          <a:r>
            <a:rPr lang="en-US" sz="1100" b="1" kern="1200" baseline="0"/>
            <a:t> 26 (Via Tooth) does not agree with itineraryPrograms</a:t>
          </a:r>
          <a:endParaRPr lang="en-US" sz="1100" b="1" kern="12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38100</xdr:rowOff>
        </xdr:from>
        <xdr:to>
          <xdr:col>0</xdr:col>
          <xdr:colOff>781050</xdr:colOff>
          <xdr:row>1</xdr:row>
          <xdr:rowOff>200025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B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FF0000"/>
                  </a:solidFill>
                  <a:latin typeface="Arial"/>
                  <a:cs typeface="Arial"/>
                </a:rPr>
                <a:t>Clear</a:t>
              </a:r>
            </a:p>
          </xdr:txBody>
        </xdr:sp>
        <xdr:clientData fPrintsWithSheet="0"/>
      </xdr:twoCellAnchor>
    </mc:Choice>
    <mc:Fallback/>
  </mc:AlternateContent>
  <xdr:twoCellAnchor>
    <xdr:from>
      <xdr:col>32</xdr:col>
      <xdr:colOff>9720</xdr:colOff>
      <xdr:row>1</xdr:row>
      <xdr:rowOff>6608</xdr:rowOff>
    </xdr:from>
    <xdr:to>
      <xdr:col>32</xdr:col>
      <xdr:colOff>1030255</xdr:colOff>
      <xdr:row>1</xdr:row>
      <xdr:rowOff>463420</xdr:rowOff>
    </xdr:to>
    <xdr:sp macro="" textlink="">
      <xdr:nvSpPr>
        <xdr:cNvPr id="5" name="TextBox 4">
          <a:extLst>
            <a:ext uri="{FF2B5EF4-FFF2-40B4-BE49-F238E27FC236}">
              <a16:creationId xmlns:a16="http://schemas.microsoft.com/office/drawing/2014/main" id="{42F43637-B057-4116-BE2C-C6D76D3663B1}"/>
            </a:ext>
          </a:extLst>
        </xdr:cNvPr>
        <xdr:cNvSpPr txBox="1"/>
      </xdr:nvSpPr>
      <xdr:spPr>
        <a:xfrm>
          <a:off x="31899031" y="171838"/>
          <a:ext cx="1020535" cy="456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kern="1200">
              <a:solidFill>
                <a:schemeClr val="bg1"/>
              </a:solidFill>
            </a:rPr>
            <a:t>From itineraryCamps</a:t>
          </a:r>
          <a:endParaRPr lang="en-US" sz="900" kern="1200"/>
        </a:p>
      </xdr:txBody>
    </xdr:sp>
    <xdr:clientData/>
  </xdr:twoCellAnchor>
  <xdr:twoCellAnchor>
    <xdr:from>
      <xdr:col>34</xdr:col>
      <xdr:colOff>26049</xdr:colOff>
      <xdr:row>1</xdr:row>
      <xdr:rowOff>6608</xdr:rowOff>
    </xdr:from>
    <xdr:to>
      <xdr:col>35</xdr:col>
      <xdr:colOff>6609</xdr:colOff>
      <xdr:row>1</xdr:row>
      <xdr:rowOff>463420</xdr:rowOff>
    </xdr:to>
    <xdr:sp macro="" textlink="">
      <xdr:nvSpPr>
        <xdr:cNvPr id="6" name="TextBox 5">
          <a:extLst>
            <a:ext uri="{FF2B5EF4-FFF2-40B4-BE49-F238E27FC236}">
              <a16:creationId xmlns:a16="http://schemas.microsoft.com/office/drawing/2014/main" id="{A1B6222F-70D8-4977-A1F3-124225A8EFAE}"/>
            </a:ext>
          </a:extLst>
        </xdr:cNvPr>
        <xdr:cNvSpPr txBox="1"/>
      </xdr:nvSpPr>
      <xdr:spPr>
        <a:xfrm>
          <a:off x="33995309" y="171838"/>
          <a:ext cx="1020535" cy="456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kern="1200">
              <a:solidFill>
                <a:schemeClr val="bg1"/>
              </a:solidFill>
            </a:rPr>
            <a:t>From itineraryCamps</a:t>
          </a:r>
          <a:endParaRPr lang="en-US" sz="900" kern="12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19050</xdr:colOff>
      <xdr:row>26</xdr:row>
      <xdr:rowOff>0</xdr:rowOff>
    </xdr:from>
    <xdr:to>
      <xdr:col>11</xdr:col>
      <xdr:colOff>590595</xdr:colOff>
      <xdr:row>29</xdr:row>
      <xdr:rowOff>0</xdr:rowOff>
    </xdr:to>
    <xdr:sp macro="" textlink="">
      <xdr:nvSpPr>
        <xdr:cNvPr id="5128" name="Text Box 8">
          <a:extLst>
            <a:ext uri="{FF2B5EF4-FFF2-40B4-BE49-F238E27FC236}">
              <a16:creationId xmlns:a16="http://schemas.microsoft.com/office/drawing/2014/main" id="{00000000-0008-0000-0E00-000008140000}"/>
            </a:ext>
          </a:extLst>
        </xdr:cNvPr>
        <xdr:cNvSpPr txBox="1">
          <a:spLocks noChangeArrowheads="1"/>
        </xdr:cNvSpPr>
      </xdr:nvSpPr>
      <xdr:spPr bwMode="auto">
        <a:xfrm>
          <a:off x="5467350" y="6477000"/>
          <a:ext cx="2400300" cy="704850"/>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en-US" sz="1000" b="1" i="0" strike="noStrike">
              <a:solidFill>
                <a:srgbClr val="000000"/>
              </a:solidFill>
              <a:latin typeface="Arial"/>
              <a:cs typeface="Arial"/>
            </a:rPr>
            <a:t>NOTE:  Elevations are based on campsite elevations, not from elevations shown on TREKS book.  They do not reflect anything other than differences between campsites.</a:t>
          </a:r>
          <a:endParaRPr lang="en-US" sz="1000" b="0" i="0" strike="noStrike">
            <a:solidFill>
              <a:srgbClr val="000000"/>
            </a:solidFill>
            <a:latin typeface="Arial"/>
            <a:cs typeface="Arial"/>
          </a:endParaRPr>
        </a:p>
      </xdr:txBody>
    </xdr:sp>
    <xdr:clientData/>
  </xdr:twoCellAnchor>
  <xdr:twoCellAnchor>
    <xdr:from>
      <xdr:col>8</xdr:col>
      <xdr:colOff>19050</xdr:colOff>
      <xdr:row>26</xdr:row>
      <xdr:rowOff>0</xdr:rowOff>
    </xdr:from>
    <xdr:to>
      <xdr:col>11</xdr:col>
      <xdr:colOff>590595</xdr:colOff>
      <xdr:row>30</xdr:row>
      <xdr:rowOff>21166</xdr:rowOff>
    </xdr:to>
    <xdr:sp macro="" textlink="">
      <xdr:nvSpPr>
        <xdr:cNvPr id="5" name="Text Box 8">
          <a:extLst>
            <a:ext uri="{FF2B5EF4-FFF2-40B4-BE49-F238E27FC236}">
              <a16:creationId xmlns:a16="http://schemas.microsoft.com/office/drawing/2014/main" id="{00000000-0008-0000-0E00-000005000000}"/>
            </a:ext>
          </a:extLst>
        </xdr:cNvPr>
        <xdr:cNvSpPr txBox="1">
          <a:spLocks noChangeArrowheads="1"/>
        </xdr:cNvSpPr>
      </xdr:nvSpPr>
      <xdr:spPr bwMode="auto">
        <a:xfrm>
          <a:off x="11036300" y="7366000"/>
          <a:ext cx="2529462" cy="677333"/>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en-US" sz="1000" b="1" i="0" strike="noStrike">
              <a:solidFill>
                <a:srgbClr val="000000"/>
              </a:solidFill>
              <a:latin typeface="Arial"/>
              <a:cs typeface="Arial"/>
            </a:rPr>
            <a:t>NOTE:  Elevations are based on campsite elevations, not from elevations shown on TREKS book.  They do not reflect anything other than differences between campsites.</a:t>
          </a:r>
          <a:endParaRPr lang="en-US" sz="1000" b="0" i="0" strike="noStrike">
            <a:solidFill>
              <a:srgbClr val="000000"/>
            </a:solidFill>
            <a:latin typeface="Arial"/>
            <a:cs typeface="Aria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Sid Covington" id="{CCE493D3-C905-4D15-9CF0-51AC8C1CE9FA}" userId="b23e4511df3f6df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77" dT="2024-01-01T16:59:23.17" personId="{CCE493D3-C905-4D15-9CF0-51AC8C1CE9FA}" id="{87D1AB39-E882-4AEE-A8C8-7665AD7BA19E}">
    <text>Hunting Lodge became Trail Camp for 2024</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18.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993300"/>
    <pageSetUpPr fitToPage="1"/>
  </sheetPr>
  <dimension ref="B1:S11"/>
  <sheetViews>
    <sheetView showGridLines="0" showRowColHeaders="0" tabSelected="1" zoomScale="80" zoomScaleNormal="80" workbookViewId="0">
      <selection activeCell="B7" sqref="B7"/>
    </sheetView>
  </sheetViews>
  <sheetFormatPr defaultRowHeight="12.75" x14ac:dyDescent="0.2"/>
  <cols>
    <col min="1" max="1" width="5" customWidth="1"/>
    <col min="2" max="2" width="7.85546875" customWidth="1"/>
    <col min="3" max="3" width="9.28515625" customWidth="1"/>
    <col min="4" max="4" width="99.5703125" customWidth="1"/>
    <col min="17" max="17" width="12.28515625" customWidth="1"/>
  </cols>
  <sheetData>
    <row r="1" spans="2:19" ht="36.75" customHeight="1" x14ac:dyDescent="0.2">
      <c r="C1" s="1124" t="s">
        <v>610</v>
      </c>
      <c r="D1" s="1124"/>
      <c r="E1" s="1124"/>
      <c r="F1" s="1124"/>
      <c r="G1" s="1124"/>
      <c r="H1" s="1124"/>
      <c r="I1" s="1124"/>
      <c r="J1" s="1124"/>
      <c r="K1" s="1124"/>
      <c r="L1" s="1124"/>
      <c r="M1" s="1124"/>
      <c r="N1" s="1124"/>
      <c r="O1" s="1124"/>
      <c r="P1" s="1124"/>
      <c r="Q1" s="319"/>
      <c r="R1" s="318"/>
      <c r="S1" s="318"/>
    </row>
    <row r="2" spans="2:19" ht="408.95" customHeight="1" x14ac:dyDescent="0.2"/>
    <row r="3" spans="2:19" ht="30" customHeight="1" x14ac:dyDescent="0.2"/>
    <row r="4" spans="2:19" s="329" customFormat="1" ht="24" customHeight="1" x14ac:dyDescent="0.2">
      <c r="B4" s="1125" t="s">
        <v>36</v>
      </c>
      <c r="C4" s="1125"/>
      <c r="D4" s="1125"/>
      <c r="E4" s="1125"/>
      <c r="F4" s="1125"/>
      <c r="G4" s="1125"/>
      <c r="H4" s="1125"/>
      <c r="I4" s="1125"/>
      <c r="J4" s="1125"/>
      <c r="K4" s="1125"/>
      <c r="L4" s="1125"/>
      <c r="M4" s="1125"/>
      <c r="N4" s="1125"/>
      <c r="O4" s="1125"/>
      <c r="P4" s="1125"/>
    </row>
    <row r="5" spans="2:19" s="329" customFormat="1" ht="119.25" customHeight="1" x14ac:dyDescent="0.2">
      <c r="B5" s="330"/>
      <c r="C5" s="330"/>
      <c r="D5" s="330"/>
      <c r="E5" s="330"/>
      <c r="F5" s="330"/>
      <c r="G5" s="330"/>
      <c r="H5" s="330"/>
      <c r="I5" s="330"/>
      <c r="J5" s="330"/>
      <c r="K5" s="330"/>
      <c r="L5" s="330"/>
      <c r="M5" s="330"/>
      <c r="N5" s="330"/>
      <c r="O5" s="330"/>
      <c r="P5" s="330"/>
    </row>
    <row r="6" spans="2:19" ht="13.5" thickBot="1" x14ac:dyDescent="0.25">
      <c r="B6" s="1123" t="str">
        <f>"Updated "&amp;getlastsavedate()&amp;" - Revision " &amp; getSpreadsheetProperty("Revision")</f>
        <v>Updated 1/7/2025 4:20PM - Revision 2025_1-0</v>
      </c>
      <c r="C6" s="1123"/>
      <c r="D6" s="1123"/>
      <c r="E6" s="1123"/>
      <c r="F6" s="1123"/>
      <c r="G6" s="1123"/>
      <c r="H6" s="1123"/>
      <c r="I6" s="1123"/>
      <c r="J6" s="1123"/>
      <c r="K6" s="1123"/>
      <c r="L6" s="1123"/>
      <c r="M6" s="1123"/>
      <c r="N6" s="1123"/>
      <c r="O6" s="1123"/>
      <c r="P6" s="1123"/>
      <c r="Q6" s="1123"/>
    </row>
    <row r="7" spans="2:19" x14ac:dyDescent="0.2">
      <c r="B7" s="73" t="s">
        <v>325</v>
      </c>
      <c r="C7" s="74"/>
      <c r="D7" s="75"/>
      <c r="F7" s="180" t="s">
        <v>337</v>
      </c>
    </row>
    <row r="8" spans="2:19" x14ac:dyDescent="0.2">
      <c r="B8" s="946"/>
      <c r="C8" s="949" t="s">
        <v>548</v>
      </c>
      <c r="D8" s="960" t="s">
        <v>549</v>
      </c>
      <c r="F8" s="180"/>
    </row>
    <row r="9" spans="2:19" x14ac:dyDescent="0.2">
      <c r="B9" s="946"/>
      <c r="C9" s="949"/>
      <c r="D9" s="950"/>
    </row>
    <row r="10" spans="2:19" x14ac:dyDescent="0.2">
      <c r="B10" s="946"/>
      <c r="C10" s="947"/>
      <c r="D10" s="948"/>
    </row>
    <row r="11" spans="2:19" ht="13.5" thickBot="1" x14ac:dyDescent="0.25">
      <c r="B11" s="733"/>
      <c r="C11" s="174"/>
      <c r="D11" s="331"/>
    </row>
  </sheetData>
  <sheetProtection sheet="1" objects="1" scenarios="1" selectLockedCells="1" selectUnlockedCells="1"/>
  <mergeCells count="3">
    <mergeCell ref="B6:Q6"/>
    <mergeCell ref="C1:P1"/>
    <mergeCell ref="B4:P4"/>
  </mergeCells>
  <phoneticPr fontId="0" type="noConversion"/>
  <printOptions horizontalCentered="1"/>
  <pageMargins left="0.5" right="0.5" top="0.66" bottom="0.3" header="0.25" footer="0.17"/>
  <pageSetup scale="53" orientation="landscape" horizontalDpi="4294967295" verticalDpi="4294967295" r:id="rId1"/>
  <headerFooter scaleWithDoc="0">
    <oddFooter>&amp;L&amp;"Calibri,Regular"&amp;8&amp;F!&amp;A&amp;R&amp;"Calibri,Regular"&amp;8&amp;D &amp;T</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5" tint="0.39997558519241921"/>
    <pageSetUpPr fitToPage="1"/>
  </sheetPr>
  <dimension ref="A1:H37"/>
  <sheetViews>
    <sheetView showGridLines="0" showRowColHeaders="0" workbookViewId="0">
      <selection activeCell="B4" sqref="B4"/>
    </sheetView>
  </sheetViews>
  <sheetFormatPr defaultRowHeight="12.75" x14ac:dyDescent="0.2"/>
  <cols>
    <col min="1" max="1" width="23.140625" customWidth="1"/>
    <col min="2" max="2" width="6.85546875" customWidth="1"/>
    <col min="3" max="3" width="24.28515625" customWidth="1"/>
    <col min="4" max="4" width="2.42578125" customWidth="1"/>
    <col min="5" max="5" width="27.7109375" customWidth="1"/>
    <col min="6" max="6" width="7.85546875" customWidth="1"/>
    <col min="7" max="7" width="8.5703125" customWidth="1"/>
    <col min="8" max="8" width="13.5703125" customWidth="1"/>
    <col min="9" max="12" width="24.28515625" customWidth="1"/>
  </cols>
  <sheetData>
    <row r="1" spans="1:8" ht="18" x14ac:dyDescent="0.25">
      <c r="A1" s="1126" t="s">
        <v>437</v>
      </c>
      <c r="B1" s="1126"/>
      <c r="C1" s="1126"/>
      <c r="D1" s="1126"/>
      <c r="E1" s="1126"/>
      <c r="F1" s="1126"/>
      <c r="G1" s="1126"/>
      <c r="H1" s="1126"/>
    </row>
    <row r="2" spans="1:8" ht="6" customHeight="1" thickBot="1" x14ac:dyDescent="0.25"/>
    <row r="3" spans="1:8" ht="12.75" customHeight="1" x14ac:dyDescent="0.2">
      <c r="A3" s="7" t="s">
        <v>194</v>
      </c>
      <c r="B3" s="8"/>
      <c r="C3" s="9"/>
      <c r="E3" s="25" t="s">
        <v>150</v>
      </c>
      <c r="F3" s="8"/>
      <c r="G3" s="8"/>
      <c r="H3" s="9"/>
    </row>
    <row r="4" spans="1:8" ht="12.75" customHeight="1" x14ac:dyDescent="0.2">
      <c r="A4" s="10" t="s">
        <v>195</v>
      </c>
      <c r="B4" s="909" t="s">
        <v>8</v>
      </c>
      <c r="C4" s="76" t="str">
        <f>IF(UPPER(B4)="Y","",IF(UPPER(B4)="N","","ERROR-Must be Y or N"))</f>
        <v/>
      </c>
      <c r="E4" s="1127" t="s">
        <v>345</v>
      </c>
      <c r="F4" s="1128"/>
      <c r="G4" s="1128"/>
      <c r="H4" s="1129"/>
    </row>
    <row r="5" spans="1:8" ht="12.75" customHeight="1" x14ac:dyDescent="0.2">
      <c r="A5" s="58" t="s">
        <v>383</v>
      </c>
      <c r="C5" s="11"/>
      <c r="E5" s="1127"/>
      <c r="F5" s="1128"/>
      <c r="G5" s="1128"/>
      <c r="H5" s="1129"/>
    </row>
    <row r="6" spans="1:8" ht="12.75" customHeight="1" x14ac:dyDescent="0.2">
      <c r="A6" s="58" t="s">
        <v>384</v>
      </c>
      <c r="C6" s="11"/>
      <c r="D6" s="20"/>
      <c r="E6" s="1127"/>
      <c r="F6" s="1128"/>
      <c r="G6" s="1128"/>
      <c r="H6" s="1129"/>
    </row>
    <row r="7" spans="1:8" ht="12.75" customHeight="1" x14ac:dyDescent="0.2">
      <c r="A7" s="12" t="s">
        <v>154</v>
      </c>
      <c r="B7" s="910">
        <v>3</v>
      </c>
      <c r="C7" s="13" t="str">
        <f>IF(B7&lt;1,"ERROR-Must be in 1-4 range",IF(B7&gt;4,"ERROR-Must be in 1-4 range",""))</f>
        <v/>
      </c>
      <c r="D7" s="20"/>
      <c r="E7" s="12" t="s">
        <v>152</v>
      </c>
      <c r="F7" s="19" t="s">
        <v>153</v>
      </c>
      <c r="G7" s="19"/>
      <c r="H7" s="11"/>
    </row>
    <row r="8" spans="1:8" ht="12.75" customHeight="1" x14ac:dyDescent="0.2">
      <c r="A8" s="12" t="s">
        <v>155</v>
      </c>
      <c r="B8" s="910">
        <v>4</v>
      </c>
      <c r="C8" s="13" t="str">
        <f>IF(B8&lt;1,"ERROR-Must be in 1-4 range",IF(B8&gt;4,"ERROR-Must be in 1-4 range",""))</f>
        <v/>
      </c>
      <c r="D8" s="20"/>
      <c r="E8" s="58" t="s">
        <v>389</v>
      </c>
      <c r="F8" s="909" t="s">
        <v>24</v>
      </c>
      <c r="G8" s="1133" t="str">
        <f>IF(UPPER(F8)="Y","",IF(UPPER(F8)="N","","ERROR-enter a 'y' or 'n'"))</f>
        <v/>
      </c>
      <c r="H8" s="1134"/>
    </row>
    <row r="9" spans="1:8" ht="12.75" customHeight="1" x14ac:dyDescent="0.2">
      <c r="A9" s="611" t="s">
        <v>438</v>
      </c>
      <c r="B9" s="910">
        <v>1</v>
      </c>
      <c r="C9" s="13" t="str">
        <f>IF(B9&lt;1,"ERROR-Must be in 1-4 range",IF(B9&gt;4,"ERROR-Must be in 1-4 range",""))</f>
        <v/>
      </c>
      <c r="E9" s="58" t="s">
        <v>390</v>
      </c>
      <c r="F9" s="909" t="s">
        <v>24</v>
      </c>
      <c r="G9" s="1133" t="str">
        <f>IF(UPPER(F9)="Y","",IF(UPPER(F9)="N","","ERROR-enter a 'y' or 'n'"))</f>
        <v/>
      </c>
      <c r="H9" s="1134"/>
    </row>
    <row r="10" spans="1:8" ht="12.75" customHeight="1" x14ac:dyDescent="0.2">
      <c r="A10" s="12" t="s">
        <v>156</v>
      </c>
      <c r="B10" s="910">
        <v>2</v>
      </c>
      <c r="C10" s="11" t="str">
        <f>IF(B10&lt;1,"ERROR-Must be in 1-4 range",IF(B10&gt;4,"ERROR-Must be in 1-4 range",""))</f>
        <v/>
      </c>
      <c r="D10" s="21"/>
      <c r="E10" s="10" t="s">
        <v>151</v>
      </c>
      <c r="F10" s="909" t="s">
        <v>8</v>
      </c>
      <c r="G10" s="1133" t="str">
        <f>IF(UPPER(F10)="Y","",IF(UPPER(F10)="N","","ERROR-enter a 'y' or 'n'"))</f>
        <v/>
      </c>
      <c r="H10" s="1134"/>
    </row>
    <row r="11" spans="1:8" ht="12.75" customHeight="1" thickBot="1" x14ac:dyDescent="0.25">
      <c r="A11" s="1147" t="str" cm="1">
        <f t="array" ref="A11">IF(LOWER(areaImportant)="y",(IF(validAreaRanking(),"","ERROR—rank preferences 1 to 4")),"")</f>
        <v/>
      </c>
      <c r="B11" s="1148"/>
      <c r="C11" s="1149"/>
      <c r="E11" s="26"/>
      <c r="F11" s="28"/>
      <c r="G11" s="28"/>
      <c r="H11" s="27"/>
    </row>
    <row r="12" spans="1:8" s="14" customFormat="1" ht="12.75" customHeight="1" thickBot="1" x14ac:dyDescent="0.25">
      <c r="A12"/>
      <c r="B12"/>
      <c r="C12"/>
      <c r="E12"/>
      <c r="F12"/>
      <c r="G12"/>
      <c r="H12"/>
    </row>
    <row r="13" spans="1:8" s="14" customFormat="1" ht="12.75" customHeight="1" x14ac:dyDescent="0.2">
      <c r="A13" s="326" t="s">
        <v>385</v>
      </c>
      <c r="B13" s="15"/>
      <c r="C13" s="16"/>
      <c r="E13" s="1130" t="s">
        <v>347</v>
      </c>
      <c r="F13" s="1131"/>
      <c r="G13" s="1131"/>
      <c r="H13" s="1132"/>
    </row>
    <row r="14" spans="1:8" s="14" customFormat="1" ht="12.75" customHeight="1" x14ac:dyDescent="0.2">
      <c r="A14" s="58" t="s">
        <v>386</v>
      </c>
      <c r="C14" s="17"/>
      <c r="E14" s="1127"/>
      <c r="F14" s="1128"/>
      <c r="G14" s="1128"/>
      <c r="H14" s="1129"/>
    </row>
    <row r="15" spans="1:8" s="14" customFormat="1" ht="12.75" customHeight="1" x14ac:dyDescent="0.2">
      <c r="A15" s="58" t="s">
        <v>387</v>
      </c>
      <c r="C15" s="17"/>
      <c r="E15" s="1127"/>
      <c r="F15" s="1128"/>
      <c r="G15" s="1128"/>
      <c r="H15" s="1129"/>
    </row>
    <row r="16" spans="1:8" s="14" customFormat="1" ht="12.75" customHeight="1" x14ac:dyDescent="0.2">
      <c r="A16" s="18"/>
      <c r="C16" s="17"/>
      <c r="E16" s="1127"/>
      <c r="F16" s="1128"/>
      <c r="G16" s="1128"/>
      <c r="H16" s="1129"/>
    </row>
    <row r="17" spans="1:8" s="14" customFormat="1" ht="12.75" customHeight="1" x14ac:dyDescent="0.2">
      <c r="A17" s="12" t="s">
        <v>157</v>
      </c>
      <c r="B17" s="910">
        <v>6</v>
      </c>
      <c r="C17" s="17"/>
      <c r="D17" s="21"/>
      <c r="E17" s="1127"/>
      <c r="F17" s="1128"/>
      <c r="G17" s="1128"/>
      <c r="H17" s="1129"/>
    </row>
    <row r="18" spans="1:8" s="14" customFormat="1" ht="12.75" customHeight="1" thickBot="1" x14ac:dyDescent="0.25">
      <c r="A18" s="1147" t="str">
        <f>IF(B17&gt;0,IF(B17&lt;11,"","ERROR-must be less than 10"),"ERROR-must be greater than 0")</f>
        <v/>
      </c>
      <c r="B18" s="1148"/>
      <c r="C18" s="1149"/>
      <c r="E18" s="611" t="s">
        <v>285</v>
      </c>
      <c r="F18" s="909" t="s">
        <v>8</v>
      </c>
      <c r="G18" s="2"/>
      <c r="H18" s="11"/>
    </row>
    <row r="19" spans="1:8" s="14" customFormat="1" ht="12.75" customHeight="1" thickBot="1" x14ac:dyDescent="0.25">
      <c r="E19" s="59"/>
      <c r="F19" s="612"/>
      <c r="G19" s="238"/>
      <c r="H19" s="27"/>
    </row>
    <row r="20" spans="1:8" s="14" customFormat="1" ht="12.75" customHeight="1" thickBot="1" x14ac:dyDescent="0.25">
      <c r="A20" s="1135" t="s">
        <v>436</v>
      </c>
      <c r="B20" s="1136"/>
      <c r="C20" s="1137"/>
      <c r="E20"/>
      <c r="F20"/>
      <c r="G20"/>
      <c r="H20"/>
    </row>
    <row r="21" spans="1:8" s="14" customFormat="1" ht="12.75" customHeight="1" x14ac:dyDescent="0.2">
      <c r="A21" s="1138"/>
      <c r="B21" s="1139"/>
      <c r="C21" s="1140"/>
      <c r="E21" s="236" t="s">
        <v>346</v>
      </c>
      <c r="F21" s="8"/>
      <c r="G21" s="8"/>
      <c r="H21" s="9"/>
    </row>
    <row r="22" spans="1:8" s="14" customFormat="1" ht="12.75" customHeight="1" x14ac:dyDescent="0.2">
      <c r="A22" s="1144" t="s">
        <v>433</v>
      </c>
      <c r="B22" s="1145"/>
      <c r="C22" s="1146"/>
      <c r="E22" s="37"/>
      <c r="F22"/>
      <c r="G22" s="80" t="s">
        <v>153</v>
      </c>
      <c r="H22" s="11"/>
    </row>
    <row r="23" spans="1:8" s="14" customFormat="1" ht="12.75" customHeight="1" thickBot="1" x14ac:dyDescent="0.25">
      <c r="A23" s="26"/>
      <c r="B23" s="911" t="s">
        <v>24</v>
      </c>
      <c r="C23" s="27"/>
      <c r="E23" s="237" t="s">
        <v>173</v>
      </c>
      <c r="F23" s="62" t="s">
        <v>168</v>
      </c>
      <c r="G23" s="909" t="s">
        <v>8</v>
      </c>
      <c r="H23" s="11"/>
    </row>
    <row r="24" spans="1:8" s="14" customFormat="1" ht="12.75" customHeight="1" thickBot="1" x14ac:dyDescent="0.25">
      <c r="A24"/>
      <c r="B24"/>
      <c r="C24"/>
      <c r="E24" s="237" t="s">
        <v>33</v>
      </c>
      <c r="F24" s="62" t="s">
        <v>9</v>
      </c>
      <c r="G24" s="909" t="s">
        <v>8</v>
      </c>
      <c r="H24" s="11"/>
    </row>
    <row r="25" spans="1:8" s="14" customFormat="1" ht="12.75" customHeight="1" x14ac:dyDescent="0.2">
      <c r="A25" s="1141" t="s">
        <v>414</v>
      </c>
      <c r="B25" s="1142"/>
      <c r="C25" s="1143"/>
      <c r="E25" s="237" t="s">
        <v>34</v>
      </c>
      <c r="F25" s="62" t="s">
        <v>14</v>
      </c>
      <c r="G25" s="909" t="s">
        <v>8</v>
      </c>
      <c r="H25" s="11"/>
    </row>
    <row r="26" spans="1:8" ht="12.75" customHeight="1" thickBot="1" x14ac:dyDescent="0.25">
      <c r="A26" s="1127"/>
      <c r="B26" s="1128"/>
      <c r="C26" s="1129"/>
      <c r="E26" s="327" t="s">
        <v>35</v>
      </c>
      <c r="F26" s="328" t="s">
        <v>15</v>
      </c>
      <c r="G26" s="911" t="s">
        <v>8</v>
      </c>
      <c r="H26" s="27"/>
    </row>
    <row r="27" spans="1:8" ht="12.75" customHeight="1" x14ac:dyDescent="0.2">
      <c r="A27" s="1144" t="s">
        <v>415</v>
      </c>
      <c r="B27" s="1145"/>
      <c r="C27" s="1146"/>
      <c r="D27" s="21"/>
    </row>
    <row r="28" spans="1:8" ht="12.75" customHeight="1" thickBot="1" x14ac:dyDescent="0.25">
      <c r="A28" s="26"/>
      <c r="B28" s="911" t="s">
        <v>24</v>
      </c>
      <c r="C28" s="27"/>
    </row>
    <row r="29" spans="1:8" ht="12.75" customHeight="1" thickBot="1" x14ac:dyDescent="0.25"/>
    <row r="30" spans="1:8" ht="12.75" customHeight="1" x14ac:dyDescent="0.2">
      <c r="A30" s="1135" t="s">
        <v>434</v>
      </c>
      <c r="B30" s="1136"/>
      <c r="C30" s="1137"/>
    </row>
    <row r="31" spans="1:8" ht="12.75" customHeight="1" x14ac:dyDescent="0.2">
      <c r="A31" s="1138"/>
      <c r="B31" s="1139"/>
      <c r="C31" s="1140"/>
    </row>
    <row r="32" spans="1:8" ht="12.75" customHeight="1" x14ac:dyDescent="0.2">
      <c r="A32" s="682" t="s">
        <v>435</v>
      </c>
      <c r="B32" s="909" t="s">
        <v>8</v>
      </c>
      <c r="C32" s="11"/>
    </row>
    <row r="33" spans="1:3" ht="12.75" customHeight="1" x14ac:dyDescent="0.2">
      <c r="A33" s="682" t="s">
        <v>297</v>
      </c>
      <c r="B33" s="909" t="s">
        <v>8</v>
      </c>
      <c r="C33" s="11"/>
    </row>
    <row r="34" spans="1:3" ht="12.75" customHeight="1" x14ac:dyDescent="0.2">
      <c r="A34" s="682" t="s">
        <v>7</v>
      </c>
      <c r="B34" s="909" t="s">
        <v>8</v>
      </c>
      <c r="C34" s="11"/>
    </row>
    <row r="35" spans="1:3" x14ac:dyDescent="0.2">
      <c r="A35" s="682" t="s">
        <v>551</v>
      </c>
      <c r="B35" s="909" t="s">
        <v>8</v>
      </c>
      <c r="C35" s="11"/>
    </row>
    <row r="36" spans="1:3" x14ac:dyDescent="0.2">
      <c r="A36" s="682" t="s">
        <v>32</v>
      </c>
      <c r="B36" s="909" t="s">
        <v>24</v>
      </c>
      <c r="C36" s="11"/>
    </row>
    <row r="37" spans="1:3" ht="13.5" thickBot="1" x14ac:dyDescent="0.25">
      <c r="A37" s="683" t="s">
        <v>469</v>
      </c>
      <c r="B37" s="911" t="s">
        <v>24</v>
      </c>
      <c r="C37" s="27"/>
    </row>
  </sheetData>
  <sheetProtection sheet="1" objects="1" scenarios="1" selectLockedCells="1"/>
  <mergeCells count="13">
    <mergeCell ref="A30:C31"/>
    <mergeCell ref="A25:C26"/>
    <mergeCell ref="A27:C27"/>
    <mergeCell ref="A18:C18"/>
    <mergeCell ref="A11:C11"/>
    <mergeCell ref="A22:C22"/>
    <mergeCell ref="A20:C21"/>
    <mergeCell ref="A1:H1"/>
    <mergeCell ref="E4:H6"/>
    <mergeCell ref="E13:H17"/>
    <mergeCell ref="G10:H10"/>
    <mergeCell ref="G9:H9"/>
    <mergeCell ref="G8:H8"/>
  </mergeCells>
  <phoneticPr fontId="0" type="noConversion"/>
  <pageMargins left="0.75" right="0.75" top="1" bottom="1" header="0.5" footer="0.5"/>
  <pageSetup orientation="landscape" r:id="rId1"/>
  <headerFooter scaleWithDoc="0">
    <oddHeader>&amp;C&amp;"Arial,Bold"&amp;12Philmont Itinerary Selection</oddHeader>
    <oddFooter>&amp;L&amp;"Calibri,Regular"&amp;8&amp;F!&amp;A&amp;R&amp;"Calibri,Regular"&amp;8&amp;D &amp;T</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52"/>
    <pageSetUpPr fitToPage="1"/>
  </sheetPr>
  <dimension ref="A1:N55"/>
  <sheetViews>
    <sheetView zoomScale="60" zoomScaleNormal="60" workbookViewId="0">
      <pane xSplit="1" ySplit="1" topLeftCell="B2" activePane="bottomRight" state="frozen"/>
      <selection pane="topRight" activeCell="B1" sqref="B1"/>
      <selection pane="bottomLeft" activeCell="A2" sqref="A2"/>
      <selection pane="bottomRight" activeCell="B1" sqref="B1"/>
    </sheetView>
  </sheetViews>
  <sheetFormatPr defaultRowHeight="24" customHeight="1" x14ac:dyDescent="0.2"/>
  <cols>
    <col min="1" max="1" width="33.28515625" customWidth="1"/>
    <col min="2" max="13" width="18.7109375" style="1" customWidth="1"/>
  </cols>
  <sheetData>
    <row r="1" spans="1:14" s="363" customFormat="1" ht="35.1" customHeight="1" thickBot="1" x14ac:dyDescent="0.25">
      <c r="A1" s="396" t="s">
        <v>445</v>
      </c>
      <c r="B1" s="397" t="s">
        <v>421</v>
      </c>
      <c r="C1" s="397" t="s">
        <v>400</v>
      </c>
      <c r="D1" s="397" t="s">
        <v>401</v>
      </c>
      <c r="E1" s="397" t="s">
        <v>402</v>
      </c>
      <c r="F1" s="397" t="s">
        <v>403</v>
      </c>
      <c r="G1" s="397" t="s">
        <v>404</v>
      </c>
      <c r="H1" s="397" t="s">
        <v>405</v>
      </c>
      <c r="I1" s="397" t="s">
        <v>406</v>
      </c>
      <c r="J1" s="397" t="s">
        <v>407</v>
      </c>
      <c r="K1" s="397" t="s">
        <v>408</v>
      </c>
      <c r="L1" s="397" t="s">
        <v>409</v>
      </c>
      <c r="M1" s="398" t="s">
        <v>410</v>
      </c>
    </row>
    <row r="2" spans="1:14" ht="24" customHeight="1" x14ac:dyDescent="0.2">
      <c r="A2" s="392" t="str" cm="1">
        <f t="array" ref="A2">INDEX(program_table,ROW()-1)</f>
        <v>Climbing: Bouldering Gym</v>
      </c>
      <c r="B2" s="393">
        <v>15</v>
      </c>
      <c r="C2" s="393">
        <v>15</v>
      </c>
      <c r="D2" s="393">
        <v>15</v>
      </c>
      <c r="E2" s="393">
        <v>15</v>
      </c>
      <c r="F2" s="393">
        <v>15</v>
      </c>
      <c r="G2" s="393">
        <v>15</v>
      </c>
      <c r="H2" s="394">
        <v>15</v>
      </c>
      <c r="I2" s="394">
        <v>15</v>
      </c>
      <c r="J2" s="394">
        <v>15</v>
      </c>
      <c r="K2" s="394">
        <v>15</v>
      </c>
      <c r="L2" s="393">
        <v>2</v>
      </c>
      <c r="M2" s="395">
        <v>0</v>
      </c>
      <c r="N2" s="364"/>
    </row>
    <row r="3" spans="1:14" ht="24" customHeight="1" x14ac:dyDescent="0.2">
      <c r="A3" s="392" t="str" cm="1">
        <f t="array" ref="A3">INDEX(program_table,ROW()-1)</f>
        <v>Climbing: Climbing Wall/Tower</v>
      </c>
      <c r="B3" s="38">
        <v>20</v>
      </c>
      <c r="C3" s="38">
        <v>20</v>
      </c>
      <c r="D3" s="38">
        <v>20</v>
      </c>
      <c r="E3" s="38">
        <v>20</v>
      </c>
      <c r="F3" s="38">
        <v>20</v>
      </c>
      <c r="G3" s="38">
        <v>20</v>
      </c>
      <c r="H3" s="38">
        <v>20</v>
      </c>
      <c r="I3" s="38">
        <v>19</v>
      </c>
      <c r="J3" s="38">
        <v>18</v>
      </c>
      <c r="K3" s="38">
        <v>17</v>
      </c>
      <c r="L3" s="38">
        <v>16</v>
      </c>
      <c r="M3" s="388">
        <v>15</v>
      </c>
      <c r="N3" s="364"/>
    </row>
    <row r="4" spans="1:14" ht="24" customHeight="1" x14ac:dyDescent="0.2">
      <c r="A4" s="392" t="str" cm="1">
        <f t="array" ref="A4">INDEX(program_table,ROW()-1)</f>
        <v>Climbing: Crate Stacking</v>
      </c>
      <c r="B4" s="38">
        <v>2</v>
      </c>
      <c r="C4" s="38">
        <v>13</v>
      </c>
      <c r="D4" s="38">
        <v>10</v>
      </c>
      <c r="E4" s="38">
        <v>2</v>
      </c>
      <c r="F4" s="38">
        <v>0</v>
      </c>
      <c r="G4" s="38">
        <v>7</v>
      </c>
      <c r="H4" s="38">
        <v>13</v>
      </c>
      <c r="I4" s="38">
        <v>10</v>
      </c>
      <c r="J4" s="38">
        <v>2</v>
      </c>
      <c r="K4" s="38">
        <v>0</v>
      </c>
      <c r="L4" s="38">
        <v>7</v>
      </c>
      <c r="M4" s="388">
        <v>10</v>
      </c>
      <c r="N4" s="364"/>
    </row>
    <row r="5" spans="1:14" ht="24" customHeight="1" x14ac:dyDescent="0.2">
      <c r="A5" s="392" t="str" cm="1">
        <f t="array" ref="A5">INDEX(program_table,ROW()-1)</f>
        <v>Climbing: Rock Climbing</v>
      </c>
      <c r="B5" s="38">
        <v>18</v>
      </c>
      <c r="C5" s="38">
        <v>18</v>
      </c>
      <c r="D5" s="38">
        <v>18</v>
      </c>
      <c r="E5" s="38">
        <v>18</v>
      </c>
      <c r="F5" s="38">
        <v>18</v>
      </c>
      <c r="G5" s="38">
        <v>18</v>
      </c>
      <c r="H5" s="38">
        <v>18</v>
      </c>
      <c r="I5" s="38">
        <v>18</v>
      </c>
      <c r="J5" s="38">
        <v>18</v>
      </c>
      <c r="K5" s="38">
        <v>18</v>
      </c>
      <c r="L5" s="38">
        <v>5</v>
      </c>
      <c r="M5" s="388">
        <v>3</v>
      </c>
      <c r="N5" s="364"/>
    </row>
    <row r="6" spans="1:14" ht="24" customHeight="1" x14ac:dyDescent="0.2">
      <c r="A6" s="392" t="str" cm="1">
        <f t="array" ref="A6">INDEX(program_table,ROW()-1)</f>
        <v>COPE: High Challenge Course</v>
      </c>
      <c r="B6" s="38">
        <v>2</v>
      </c>
      <c r="C6" s="38">
        <v>0</v>
      </c>
      <c r="D6" s="38">
        <v>15</v>
      </c>
      <c r="E6" s="38">
        <v>0</v>
      </c>
      <c r="F6" s="38">
        <v>18</v>
      </c>
      <c r="G6" s="38">
        <v>20</v>
      </c>
      <c r="H6" s="38">
        <v>0</v>
      </c>
      <c r="I6" s="38">
        <v>15</v>
      </c>
      <c r="J6" s="38">
        <v>0</v>
      </c>
      <c r="K6" s="38">
        <v>18</v>
      </c>
      <c r="L6" s="38">
        <v>20</v>
      </c>
      <c r="M6" s="388">
        <v>0</v>
      </c>
      <c r="N6" s="364"/>
    </row>
    <row r="7" spans="1:14" ht="24" customHeight="1" x14ac:dyDescent="0.2">
      <c r="A7" s="392" t="str" cm="1">
        <f t="array" ref="A7">INDEX(program_table,ROW()-1)</f>
        <v>COPE: Initiative Games</v>
      </c>
      <c r="B7" s="38">
        <v>2</v>
      </c>
      <c r="C7" s="38">
        <v>20</v>
      </c>
      <c r="D7" s="38">
        <v>0</v>
      </c>
      <c r="E7" s="38">
        <v>14</v>
      </c>
      <c r="F7" s="38">
        <v>6</v>
      </c>
      <c r="G7" s="38">
        <v>10</v>
      </c>
      <c r="H7" s="38">
        <v>20</v>
      </c>
      <c r="I7" s="38">
        <v>0</v>
      </c>
      <c r="J7" s="38">
        <v>14</v>
      </c>
      <c r="K7" s="38">
        <v>6</v>
      </c>
      <c r="L7" s="38">
        <v>10</v>
      </c>
      <c r="M7" s="388">
        <v>9</v>
      </c>
      <c r="N7" s="364"/>
    </row>
    <row r="8" spans="1:14" ht="24" customHeight="1" x14ac:dyDescent="0.2">
      <c r="A8" s="392" t="str" cm="1">
        <f t="array" ref="A8">INDEX(program_table,ROW()-1)</f>
        <v>COPE: Low Challenge Course</v>
      </c>
      <c r="B8" s="38">
        <v>2</v>
      </c>
      <c r="C8" s="38">
        <v>20</v>
      </c>
      <c r="D8" s="38">
        <v>0</v>
      </c>
      <c r="E8" s="38">
        <v>14</v>
      </c>
      <c r="F8" s="38">
        <v>6</v>
      </c>
      <c r="G8" s="38">
        <v>10</v>
      </c>
      <c r="H8" s="38">
        <v>20</v>
      </c>
      <c r="I8" s="38">
        <v>0</v>
      </c>
      <c r="J8" s="38">
        <v>14</v>
      </c>
      <c r="K8" s="38">
        <v>6</v>
      </c>
      <c r="L8" s="38">
        <v>10</v>
      </c>
      <c r="M8" s="388">
        <v>9</v>
      </c>
      <c r="N8" s="364"/>
    </row>
    <row r="9" spans="1:14" ht="24" customHeight="1" x14ac:dyDescent="0.2">
      <c r="A9" s="392" t="str" cm="1">
        <f t="array" ref="A9">INDEX(program_table,ROW()-1)</f>
        <v>Ecology: Demonstration Forest</v>
      </c>
      <c r="B9" s="38">
        <v>2</v>
      </c>
      <c r="C9" s="38">
        <v>5</v>
      </c>
      <c r="D9" s="38">
        <v>15</v>
      </c>
      <c r="E9" s="38">
        <v>0</v>
      </c>
      <c r="F9" s="38">
        <v>20</v>
      </c>
      <c r="G9" s="38">
        <v>7</v>
      </c>
      <c r="H9" s="38">
        <v>5</v>
      </c>
      <c r="I9" s="38">
        <v>15</v>
      </c>
      <c r="J9" s="38">
        <v>0</v>
      </c>
      <c r="K9" s="38">
        <v>0</v>
      </c>
      <c r="L9" s="38">
        <v>7</v>
      </c>
      <c r="M9" s="388">
        <v>8</v>
      </c>
      <c r="N9" s="364"/>
    </row>
    <row r="10" spans="1:14" ht="24" customHeight="1" x14ac:dyDescent="0.2">
      <c r="A10" s="392" t="str" cm="1">
        <f t="array" ref="A10">INDEX(program_table,ROW()-1)</f>
        <v>Ecology: Self-Guided Fishing</v>
      </c>
      <c r="B10" s="38">
        <v>2</v>
      </c>
      <c r="C10" s="38">
        <v>19</v>
      </c>
      <c r="D10" s="38">
        <v>0</v>
      </c>
      <c r="E10" s="38">
        <v>0</v>
      </c>
      <c r="F10" s="38">
        <v>9</v>
      </c>
      <c r="G10" s="38">
        <v>9</v>
      </c>
      <c r="H10" s="38">
        <v>19</v>
      </c>
      <c r="I10" s="38">
        <v>0</v>
      </c>
      <c r="J10" s="38">
        <v>0</v>
      </c>
      <c r="K10" s="38">
        <v>9</v>
      </c>
      <c r="L10" s="38">
        <v>9</v>
      </c>
      <c r="M10" s="388">
        <v>11</v>
      </c>
      <c r="N10" s="364"/>
    </row>
    <row r="11" spans="1:14" ht="24" customHeight="1" x14ac:dyDescent="0.2">
      <c r="A11" s="392" t="str" cm="1">
        <f t="array" ref="A11">INDEX(program_table,ROW()-1)</f>
        <v>Evening: Advisor Coffee</v>
      </c>
      <c r="B11" s="38">
        <v>2</v>
      </c>
      <c r="C11" s="38">
        <v>10</v>
      </c>
      <c r="D11" s="38">
        <v>5</v>
      </c>
      <c r="E11" s="38">
        <v>0</v>
      </c>
      <c r="F11" s="38">
        <v>0</v>
      </c>
      <c r="G11" s="38">
        <v>7</v>
      </c>
      <c r="H11" s="38">
        <v>10</v>
      </c>
      <c r="I11" s="38">
        <v>5</v>
      </c>
      <c r="J11" s="38">
        <v>0</v>
      </c>
      <c r="K11" s="38"/>
      <c r="L11" s="38">
        <v>7</v>
      </c>
      <c r="M11" s="388">
        <v>15</v>
      </c>
      <c r="N11" s="364"/>
    </row>
    <row r="12" spans="1:14" ht="24" customHeight="1" x14ac:dyDescent="0.2">
      <c r="A12" s="392" t="str" cm="1">
        <f t="array" ref="A12">INDEX(program_table,ROW()-1)</f>
        <v>Evening: Campfire Show</v>
      </c>
      <c r="B12" s="38">
        <v>2</v>
      </c>
      <c r="C12" s="38">
        <v>20</v>
      </c>
      <c r="D12" s="38">
        <v>5</v>
      </c>
      <c r="E12" s="38">
        <v>0</v>
      </c>
      <c r="F12" s="38">
        <v>0</v>
      </c>
      <c r="G12" s="38">
        <v>5</v>
      </c>
      <c r="H12" s="38">
        <v>20</v>
      </c>
      <c r="I12" s="38">
        <v>5</v>
      </c>
      <c r="J12" s="38">
        <v>0</v>
      </c>
      <c r="K12" s="38"/>
      <c r="L12" s="38">
        <v>5</v>
      </c>
      <c r="M12" s="388">
        <v>11</v>
      </c>
      <c r="N12" s="364"/>
    </row>
    <row r="13" spans="1:14" ht="24" customHeight="1" x14ac:dyDescent="0.2">
      <c r="A13" s="392" t="str" cm="1">
        <f t="array" ref="A13">INDEX(program_table,ROW()-1)</f>
        <v>Evening: Chuckwagon Dinner</v>
      </c>
      <c r="B13" s="38">
        <v>2</v>
      </c>
      <c r="C13" s="38">
        <v>11</v>
      </c>
      <c r="D13" s="38"/>
      <c r="E13" s="38">
        <v>13</v>
      </c>
      <c r="F13" s="38"/>
      <c r="G13" s="38">
        <v>4</v>
      </c>
      <c r="H13" s="38">
        <v>10</v>
      </c>
      <c r="I13" s="38"/>
      <c r="J13" s="38">
        <v>15</v>
      </c>
      <c r="K13" s="38">
        <v>0</v>
      </c>
      <c r="L13" s="38"/>
      <c r="M13" s="388">
        <v>18</v>
      </c>
      <c r="N13" s="364"/>
    </row>
    <row r="14" spans="1:14" ht="24" customHeight="1" x14ac:dyDescent="0.2">
      <c r="A14" s="392" t="str" cm="1">
        <f t="array" ref="A14">INDEX(program_table,ROW()-1)</f>
        <v>Historical: Adobe Brick-Making</v>
      </c>
      <c r="B14" s="38">
        <v>2</v>
      </c>
      <c r="C14" s="38">
        <v>10</v>
      </c>
      <c r="D14" s="38">
        <v>0</v>
      </c>
      <c r="E14" s="38">
        <v>13</v>
      </c>
      <c r="F14" s="38">
        <v>0</v>
      </c>
      <c r="G14" s="38">
        <v>4</v>
      </c>
      <c r="H14" s="38">
        <v>10</v>
      </c>
      <c r="I14" s="38">
        <v>0</v>
      </c>
      <c r="J14" s="38">
        <v>13</v>
      </c>
      <c r="K14" s="38">
        <v>0</v>
      </c>
      <c r="L14" s="38">
        <v>4</v>
      </c>
      <c r="M14" s="388">
        <v>18</v>
      </c>
      <c r="N14" s="364"/>
    </row>
    <row r="15" spans="1:14" ht="24" customHeight="1" x14ac:dyDescent="0.2">
      <c r="A15" s="392" t="str" cm="1">
        <f t="array" ref="A15">INDEX(program_table,ROW()-1)</f>
        <v>Historical: Blacksmithing</v>
      </c>
      <c r="B15" s="38">
        <v>2</v>
      </c>
      <c r="C15" s="38">
        <v>13</v>
      </c>
      <c r="D15" s="38">
        <v>10</v>
      </c>
      <c r="E15" s="40">
        <v>2</v>
      </c>
      <c r="F15" s="38"/>
      <c r="G15" s="38">
        <v>7</v>
      </c>
      <c r="H15" s="38">
        <v>13</v>
      </c>
      <c r="I15" s="38">
        <v>10</v>
      </c>
      <c r="J15" s="38">
        <v>2</v>
      </c>
      <c r="K15" s="38">
        <v>0</v>
      </c>
      <c r="L15" s="38">
        <v>7</v>
      </c>
      <c r="M15" s="388">
        <v>10</v>
      </c>
      <c r="N15" s="364"/>
    </row>
    <row r="16" spans="1:14" ht="24" customHeight="1" x14ac:dyDescent="0.2">
      <c r="A16" s="392" t="str" cm="1">
        <f t="array" ref="A16">INDEX(program_table,ROW()-1)</f>
        <v>Historical: Cabin Restoration</v>
      </c>
      <c r="B16" s="38">
        <v>2</v>
      </c>
      <c r="C16" s="38">
        <v>12</v>
      </c>
      <c r="D16" s="38">
        <v>5</v>
      </c>
      <c r="E16" s="38">
        <v>3</v>
      </c>
      <c r="F16" s="38"/>
      <c r="G16" s="38">
        <v>10</v>
      </c>
      <c r="H16" s="38">
        <v>12</v>
      </c>
      <c r="I16" s="38">
        <v>5</v>
      </c>
      <c r="J16" s="38">
        <v>3</v>
      </c>
      <c r="K16" s="38">
        <v>0</v>
      </c>
      <c r="L16" s="38">
        <v>10</v>
      </c>
      <c r="M16" s="388">
        <v>20</v>
      </c>
      <c r="N16" s="364"/>
    </row>
    <row r="17" spans="1:14" ht="24" customHeight="1" x14ac:dyDescent="0.2">
      <c r="A17" s="392" t="str" cm="1">
        <f t="array" ref="A17">INDEX(program_table,ROW()-1)</f>
        <v>Historical: Cabin/House Tour</v>
      </c>
      <c r="B17" s="38">
        <v>2</v>
      </c>
      <c r="C17" s="38">
        <v>8</v>
      </c>
      <c r="D17" s="38">
        <v>0</v>
      </c>
      <c r="E17" s="38">
        <v>16</v>
      </c>
      <c r="F17" s="38">
        <v>5</v>
      </c>
      <c r="G17" s="38">
        <v>8</v>
      </c>
      <c r="H17" s="38">
        <v>0</v>
      </c>
      <c r="I17" s="38">
        <v>8</v>
      </c>
      <c r="J17" s="38">
        <v>16</v>
      </c>
      <c r="K17" s="38">
        <v>8</v>
      </c>
      <c r="L17" s="38">
        <v>3</v>
      </c>
      <c r="M17" s="388">
        <v>10</v>
      </c>
      <c r="N17" s="364"/>
    </row>
    <row r="18" spans="1:14" ht="24" customHeight="1" x14ac:dyDescent="0.2">
      <c r="A18" s="392" t="str" cm="1">
        <f t="array" ref="A18">INDEX(program_table,ROW()-1)</f>
        <v>Historical: Crafting</v>
      </c>
      <c r="B18" s="38">
        <v>2</v>
      </c>
      <c r="C18" s="38">
        <v>1</v>
      </c>
      <c r="D18" s="38">
        <v>1</v>
      </c>
      <c r="E18" s="38">
        <v>17</v>
      </c>
      <c r="F18" s="38">
        <v>6</v>
      </c>
      <c r="G18" s="38">
        <v>4</v>
      </c>
      <c r="H18" s="38">
        <v>1</v>
      </c>
      <c r="I18" s="38">
        <v>1</v>
      </c>
      <c r="J18" s="38">
        <v>17</v>
      </c>
      <c r="K18" s="38">
        <v>6</v>
      </c>
      <c r="L18" s="38">
        <v>4</v>
      </c>
      <c r="M18" s="388">
        <v>11</v>
      </c>
      <c r="N18" s="364"/>
    </row>
    <row r="19" spans="1:14" ht="24" customHeight="1" x14ac:dyDescent="0.2">
      <c r="A19" s="392" t="str" cm="1">
        <f t="array" ref="A19">INDEX(program_table,ROW()-1)</f>
        <v>Historical: Crosscut &amp; Tie Making</v>
      </c>
      <c r="B19" s="38">
        <v>2</v>
      </c>
      <c r="C19" s="38">
        <v>10</v>
      </c>
      <c r="D19" s="38">
        <v>6</v>
      </c>
      <c r="E19" s="38">
        <v>15</v>
      </c>
      <c r="F19" s="38">
        <v>10</v>
      </c>
      <c r="G19" s="38">
        <v>5</v>
      </c>
      <c r="H19" s="38">
        <v>10</v>
      </c>
      <c r="I19" s="38">
        <v>0</v>
      </c>
      <c r="J19" s="38"/>
      <c r="K19" s="38">
        <v>1</v>
      </c>
      <c r="L19" s="38">
        <v>20</v>
      </c>
      <c r="M19" s="388">
        <v>18</v>
      </c>
      <c r="N19" s="364"/>
    </row>
    <row r="20" spans="1:14" ht="24" customHeight="1" x14ac:dyDescent="0.2">
      <c r="A20" s="392" t="str" cm="1">
        <f t="array" ref="A20">INDEX(program_table,ROW()-1)</f>
        <v>Historical: Flint Knapping</v>
      </c>
      <c r="B20" s="38">
        <v>2</v>
      </c>
      <c r="C20" s="38">
        <v>3</v>
      </c>
      <c r="D20" s="38">
        <v>5</v>
      </c>
      <c r="E20" s="38">
        <v>0</v>
      </c>
      <c r="F20" s="38">
        <v>0</v>
      </c>
      <c r="G20" s="38">
        <v>5</v>
      </c>
      <c r="H20" s="38">
        <v>20</v>
      </c>
      <c r="I20" s="38">
        <v>5</v>
      </c>
      <c r="J20" s="38">
        <v>0</v>
      </c>
      <c r="K20" s="38">
        <v>0</v>
      </c>
      <c r="L20" s="38">
        <v>7</v>
      </c>
      <c r="M20" s="388">
        <v>15</v>
      </c>
      <c r="N20" s="364"/>
    </row>
    <row r="21" spans="1:14" ht="24" customHeight="1" x14ac:dyDescent="0.2">
      <c r="A21" s="392" t="str" cm="1">
        <f t="array" ref="A21">INDEX(program_table,ROW()-1)</f>
        <v>Historical: Fur Trapper Rendezvous</v>
      </c>
      <c r="B21" s="38">
        <v>2</v>
      </c>
      <c r="C21" s="38">
        <v>2</v>
      </c>
      <c r="D21" s="38">
        <v>15</v>
      </c>
      <c r="E21" s="38">
        <v>18</v>
      </c>
      <c r="F21" s="38">
        <v>0</v>
      </c>
      <c r="G21" s="38">
        <v>10</v>
      </c>
      <c r="H21" s="38">
        <v>2</v>
      </c>
      <c r="I21" s="38">
        <v>15</v>
      </c>
      <c r="J21" s="38">
        <v>18</v>
      </c>
      <c r="K21" s="38">
        <v>0</v>
      </c>
      <c r="L21" s="38">
        <v>10</v>
      </c>
      <c r="M21" s="388">
        <v>12</v>
      </c>
      <c r="N21" s="364"/>
    </row>
    <row r="22" spans="1:14" ht="24" customHeight="1" x14ac:dyDescent="0.2">
      <c r="A22" s="392" t="str" cm="1">
        <f t="array" ref="A22">INDEX(program_table,ROW()-1)</f>
        <v>Historical: Gold Panning</v>
      </c>
      <c r="B22" s="38">
        <v>2</v>
      </c>
      <c r="C22" s="38">
        <v>19</v>
      </c>
      <c r="D22" s="38">
        <v>0</v>
      </c>
      <c r="E22" s="38">
        <v>6</v>
      </c>
      <c r="F22" s="38">
        <v>0</v>
      </c>
      <c r="G22" s="38">
        <v>12</v>
      </c>
      <c r="H22" s="38">
        <v>19</v>
      </c>
      <c r="I22" s="38">
        <v>0</v>
      </c>
      <c r="J22" s="38">
        <v>6</v>
      </c>
      <c r="K22" s="38">
        <v>0</v>
      </c>
      <c r="L22" s="38">
        <v>12</v>
      </c>
      <c r="M22" s="388">
        <v>0</v>
      </c>
      <c r="N22" s="364"/>
    </row>
    <row r="23" spans="1:14" ht="24" customHeight="1" x14ac:dyDescent="0.2">
      <c r="A23" s="392" t="str" cm="1">
        <f t="array" ref="A23">INDEX(program_table,ROW()-1)</f>
        <v>Historical: Mine Tour</v>
      </c>
      <c r="B23" s="38">
        <v>15</v>
      </c>
      <c r="C23" s="38">
        <v>2</v>
      </c>
      <c r="D23" s="38">
        <v>0</v>
      </c>
      <c r="E23" s="38">
        <v>12</v>
      </c>
      <c r="F23" s="38">
        <v>0</v>
      </c>
      <c r="G23" s="38">
        <v>12</v>
      </c>
      <c r="H23" s="38">
        <v>2</v>
      </c>
      <c r="I23" s="38">
        <v>10</v>
      </c>
      <c r="J23" s="38">
        <v>8</v>
      </c>
      <c r="K23" s="38">
        <v>0</v>
      </c>
      <c r="L23" s="38">
        <v>20</v>
      </c>
      <c r="M23" s="388">
        <v>5</v>
      </c>
      <c r="N23" s="364"/>
    </row>
    <row r="24" spans="1:14" ht="24" customHeight="1" x14ac:dyDescent="0.2">
      <c r="A24" s="392" t="str" cm="1">
        <f t="array" ref="A24">INDEX(program_table,ROW()-1)</f>
        <v>Historical: Petroglyph Tour</v>
      </c>
      <c r="B24" s="38">
        <v>2</v>
      </c>
      <c r="C24" s="38">
        <v>6</v>
      </c>
      <c r="D24" s="38">
        <v>5</v>
      </c>
      <c r="E24" s="38">
        <v>8</v>
      </c>
      <c r="F24" s="38">
        <v>9</v>
      </c>
      <c r="G24" s="38">
        <v>10</v>
      </c>
      <c r="H24" s="38">
        <v>7</v>
      </c>
      <c r="I24" s="38">
        <v>7</v>
      </c>
      <c r="J24" s="38">
        <v>3</v>
      </c>
      <c r="K24" s="38">
        <v>2</v>
      </c>
      <c r="L24" s="38">
        <v>1</v>
      </c>
      <c r="M24" s="388">
        <v>9</v>
      </c>
      <c r="N24" s="364"/>
    </row>
    <row r="25" spans="1:14" ht="24" customHeight="1" x14ac:dyDescent="0.2">
      <c r="A25" s="392" t="str" cm="1">
        <f t="array" ref="A25">INDEX(program_table,ROW()-1)</f>
        <v>Historical: Pump Car Rides</v>
      </c>
      <c r="B25" s="38">
        <v>2</v>
      </c>
      <c r="C25" s="38"/>
      <c r="D25" s="38">
        <v>15</v>
      </c>
      <c r="E25" s="38"/>
      <c r="F25" s="38">
        <v>18</v>
      </c>
      <c r="G25" s="38">
        <v>20</v>
      </c>
      <c r="H25" s="38">
        <v>0</v>
      </c>
      <c r="I25" s="38">
        <v>15</v>
      </c>
      <c r="J25" s="38">
        <v>0</v>
      </c>
      <c r="K25" s="38">
        <v>18</v>
      </c>
      <c r="L25" s="38">
        <v>20</v>
      </c>
      <c r="M25" s="388"/>
      <c r="N25" s="364"/>
    </row>
    <row r="26" spans="1:14" ht="24" customHeight="1" x14ac:dyDescent="0.2">
      <c r="A26" s="392" t="str" cm="1">
        <f t="array" ref="A26">INDEX(program_table,ROW()-1)</f>
        <v>Historical: Railroad Construction</v>
      </c>
      <c r="B26" s="38">
        <v>2</v>
      </c>
      <c r="C26" s="38">
        <v>16</v>
      </c>
      <c r="D26" s="38">
        <v>10</v>
      </c>
      <c r="E26" s="38">
        <v>15</v>
      </c>
      <c r="F26" s="38">
        <v>0</v>
      </c>
      <c r="G26" s="38">
        <v>20</v>
      </c>
      <c r="H26" s="38">
        <v>16</v>
      </c>
      <c r="I26" s="38">
        <v>10</v>
      </c>
      <c r="J26" s="38">
        <v>15</v>
      </c>
      <c r="K26" s="38">
        <v>0</v>
      </c>
      <c r="L26" s="38">
        <v>20</v>
      </c>
      <c r="M26" s="388">
        <v>10</v>
      </c>
      <c r="N26" s="364"/>
    </row>
    <row r="27" spans="1:14" ht="24" customHeight="1" x14ac:dyDescent="0.2">
      <c r="A27" s="392" t="str" cm="1">
        <f t="array" ref="A27">INDEX(program_table,ROW()-1)</f>
        <v>Historical: Spar Pole Climbing</v>
      </c>
      <c r="B27" s="38">
        <v>2</v>
      </c>
      <c r="C27" s="38"/>
      <c r="D27" s="38">
        <v>10</v>
      </c>
      <c r="E27" s="38">
        <v>5</v>
      </c>
      <c r="F27" s="38">
        <v>10</v>
      </c>
      <c r="G27" s="38"/>
      <c r="H27" s="38">
        <v>10</v>
      </c>
      <c r="I27" s="38">
        <v>20</v>
      </c>
      <c r="J27" s="38">
        <v>5</v>
      </c>
      <c r="K27" s="38">
        <v>15</v>
      </c>
      <c r="L27" s="38">
        <v>2</v>
      </c>
      <c r="M27" s="388">
        <v>18</v>
      </c>
      <c r="N27" s="364"/>
    </row>
    <row r="28" spans="1:14" ht="24" customHeight="1" x14ac:dyDescent="0.2">
      <c r="A28" s="392" t="str" cm="1">
        <f t="array" ref="A28">INDEX(program_table,ROW()-1)</f>
        <v>Landmarks: Baldy Mountain</v>
      </c>
      <c r="B28" s="38">
        <v>2</v>
      </c>
      <c r="C28" s="38">
        <v>0</v>
      </c>
      <c r="D28" s="38">
        <v>15</v>
      </c>
      <c r="E28" s="38"/>
      <c r="F28" s="38">
        <v>17</v>
      </c>
      <c r="G28" s="38">
        <v>12</v>
      </c>
      <c r="H28" s="38">
        <v>0</v>
      </c>
      <c r="I28" s="38">
        <v>15</v>
      </c>
      <c r="J28" s="38">
        <v>0</v>
      </c>
      <c r="K28" s="38">
        <v>17</v>
      </c>
      <c r="L28" s="38">
        <v>12</v>
      </c>
      <c r="M28" s="388">
        <v>10</v>
      </c>
      <c r="N28" s="364"/>
    </row>
    <row r="29" spans="1:14" ht="24" customHeight="1" x14ac:dyDescent="0.2">
      <c r="A29" s="392" t="str" cm="1">
        <f t="array" ref="A29">INDEX(program_table,ROW()-1)</f>
        <v>Landmarks: Inspiration Point</v>
      </c>
      <c r="B29" s="38">
        <v>15</v>
      </c>
      <c r="C29" s="38">
        <v>0</v>
      </c>
      <c r="D29" s="38">
        <v>15</v>
      </c>
      <c r="E29" s="38"/>
      <c r="F29" s="38">
        <v>19</v>
      </c>
      <c r="G29" s="38">
        <v>12</v>
      </c>
      <c r="H29" s="38">
        <v>0</v>
      </c>
      <c r="I29" s="38">
        <v>15</v>
      </c>
      <c r="J29" s="38">
        <v>0</v>
      </c>
      <c r="K29" s="38">
        <v>19</v>
      </c>
      <c r="L29" s="38">
        <v>12</v>
      </c>
      <c r="M29" s="388">
        <v>10</v>
      </c>
      <c r="N29" s="364"/>
    </row>
    <row r="30" spans="1:14" ht="24" customHeight="1" x14ac:dyDescent="0.2">
      <c r="A30" s="392" t="str" cm="1">
        <f t="array" ref="A30">INDEX(program_table,ROW()-1)</f>
        <v>Landmarks: Mount Phillips</v>
      </c>
      <c r="B30" s="38">
        <v>15</v>
      </c>
      <c r="C30" s="38">
        <v>0</v>
      </c>
      <c r="D30" s="38">
        <v>15</v>
      </c>
      <c r="E30" s="38"/>
      <c r="F30" s="38">
        <v>12</v>
      </c>
      <c r="G30" s="38">
        <v>12</v>
      </c>
      <c r="H30" s="38">
        <v>0</v>
      </c>
      <c r="I30" s="38">
        <v>15</v>
      </c>
      <c r="J30" s="38"/>
      <c r="K30" s="38">
        <v>12</v>
      </c>
      <c r="L30" s="38">
        <v>12</v>
      </c>
      <c r="M30" s="388">
        <v>10</v>
      </c>
      <c r="N30" s="364"/>
    </row>
    <row r="31" spans="1:14" ht="24" customHeight="1" x14ac:dyDescent="0.2">
      <c r="A31" s="392" t="str" cm="1">
        <f t="array" ref="A31">INDEX(program_table,ROW()-1)</f>
        <v>Landmarks: Mountaineering</v>
      </c>
      <c r="B31" s="38">
        <v>15</v>
      </c>
      <c r="C31" s="38">
        <v>0</v>
      </c>
      <c r="D31" s="38">
        <v>15</v>
      </c>
      <c r="E31" s="38"/>
      <c r="F31" s="38">
        <v>11</v>
      </c>
      <c r="G31" s="38">
        <v>12</v>
      </c>
      <c r="H31" s="38">
        <v>10</v>
      </c>
      <c r="I31" s="38">
        <v>15</v>
      </c>
      <c r="J31" s="38">
        <v>15</v>
      </c>
      <c r="K31" s="38">
        <v>11</v>
      </c>
      <c r="L31" s="38">
        <v>12</v>
      </c>
      <c r="M31" s="388">
        <v>10</v>
      </c>
      <c r="N31" s="364"/>
    </row>
    <row r="32" spans="1:14" ht="24" customHeight="1" x14ac:dyDescent="0.2">
      <c r="A32" s="392" t="str" cm="1">
        <f t="array" ref="A32">INDEX(program_table,ROW()-1)</f>
        <v>Landmarks: Tooth of Time</v>
      </c>
      <c r="B32" s="38">
        <v>18</v>
      </c>
      <c r="C32" s="38">
        <v>17</v>
      </c>
      <c r="D32" s="38">
        <v>6</v>
      </c>
      <c r="E32" s="38"/>
      <c r="F32" s="38">
        <v>12</v>
      </c>
      <c r="G32" s="38">
        <v>13</v>
      </c>
      <c r="H32" s="38">
        <v>5</v>
      </c>
      <c r="I32" s="38">
        <v>16</v>
      </c>
      <c r="J32" s="38">
        <v>3</v>
      </c>
      <c r="K32" s="38">
        <v>13</v>
      </c>
      <c r="L32" s="38">
        <v>14</v>
      </c>
      <c r="M32" s="388">
        <v>18</v>
      </c>
      <c r="N32" s="364"/>
    </row>
    <row r="33" spans="1:14" ht="24" customHeight="1" x14ac:dyDescent="0.2">
      <c r="A33" s="392" t="str" cm="1">
        <f t="array" ref="A33">INDEX(program_table,ROW()-1)</f>
        <v>Landmarks: Trail Peak</v>
      </c>
      <c r="B33" s="38">
        <v>10</v>
      </c>
      <c r="C33" s="38">
        <v>0</v>
      </c>
      <c r="D33" s="38">
        <v>5</v>
      </c>
      <c r="E33" s="38"/>
      <c r="F33" s="38">
        <v>16</v>
      </c>
      <c r="G33" s="38">
        <v>9</v>
      </c>
      <c r="H33" s="38">
        <v>0</v>
      </c>
      <c r="I33" s="38">
        <v>5</v>
      </c>
      <c r="J33" s="38">
        <v>0</v>
      </c>
      <c r="K33" s="38">
        <v>16</v>
      </c>
      <c r="L33" s="38"/>
      <c r="M33" s="388">
        <v>0</v>
      </c>
      <c r="N33" s="364"/>
    </row>
    <row r="34" spans="1:14" ht="24" customHeight="1" x14ac:dyDescent="0.2">
      <c r="A34" s="392" t="str" cm="1">
        <f t="array" ref="A34">INDEX(program_table,ROW()-1)</f>
        <v>Livestock: Animal Husbandry</v>
      </c>
      <c r="B34" s="38">
        <v>19</v>
      </c>
      <c r="C34" s="38">
        <v>20</v>
      </c>
      <c r="D34" s="38"/>
      <c r="E34" s="38">
        <v>14</v>
      </c>
      <c r="F34" s="38">
        <v>7</v>
      </c>
      <c r="G34" s="38">
        <v>10</v>
      </c>
      <c r="H34" s="38">
        <v>20</v>
      </c>
      <c r="I34" s="38"/>
      <c r="J34" s="38">
        <v>14</v>
      </c>
      <c r="K34" s="38">
        <v>7</v>
      </c>
      <c r="L34" s="38">
        <v>2</v>
      </c>
      <c r="M34" s="388">
        <v>8</v>
      </c>
      <c r="N34" s="364"/>
    </row>
    <row r="35" spans="1:14" ht="24" customHeight="1" x14ac:dyDescent="0.2">
      <c r="A35" s="392" t="str" cm="1">
        <f t="array" ref="A35">INDEX(program_table,ROW()-1)</f>
        <v>Livestock: Burro Packing</v>
      </c>
      <c r="B35" s="38">
        <v>19</v>
      </c>
      <c r="C35" s="38">
        <v>20</v>
      </c>
      <c r="D35" s="38">
        <v>0</v>
      </c>
      <c r="E35" s="38">
        <v>14</v>
      </c>
      <c r="F35" s="38">
        <v>7</v>
      </c>
      <c r="G35" s="38">
        <v>10</v>
      </c>
      <c r="H35" s="38">
        <v>20</v>
      </c>
      <c r="I35" s="38">
        <v>18</v>
      </c>
      <c r="J35" s="38">
        <v>14</v>
      </c>
      <c r="K35" s="38">
        <v>7</v>
      </c>
      <c r="L35" s="38">
        <v>10</v>
      </c>
      <c r="M35" s="388">
        <v>8</v>
      </c>
      <c r="N35" s="364"/>
    </row>
    <row r="36" spans="1:14" ht="24" customHeight="1" x14ac:dyDescent="0.2">
      <c r="A36" s="392" t="str" cm="1">
        <f t="array" ref="A36">INDEX(program_table,ROW()-1)</f>
        <v>Livestock: Chicken Tending</v>
      </c>
      <c r="B36" s="38">
        <v>18</v>
      </c>
      <c r="C36" s="38">
        <v>5</v>
      </c>
      <c r="D36" s="38">
        <v>10</v>
      </c>
      <c r="E36" s="38">
        <v>5</v>
      </c>
      <c r="F36" s="38">
        <v>19</v>
      </c>
      <c r="G36" s="38">
        <v>20</v>
      </c>
      <c r="H36" s="38"/>
      <c r="I36" s="38">
        <v>10</v>
      </c>
      <c r="J36" s="38">
        <v>15</v>
      </c>
      <c r="K36" s="38">
        <v>5</v>
      </c>
      <c r="L36" s="38">
        <v>14</v>
      </c>
      <c r="M36" s="388">
        <v>19</v>
      </c>
      <c r="N36" s="364"/>
    </row>
    <row r="37" spans="1:14" s="64" customFormat="1" ht="24" customHeight="1" x14ac:dyDescent="0.2">
      <c r="A37" s="392" t="str" cm="1">
        <f t="array" ref="A37">INDEX(program_table,ROW()-1)</f>
        <v>Livestock: Horse Rides</v>
      </c>
      <c r="B37" s="38">
        <v>20</v>
      </c>
      <c r="C37" s="38">
        <v>5</v>
      </c>
      <c r="D37" s="38">
        <v>16</v>
      </c>
      <c r="E37" s="38">
        <v>20</v>
      </c>
      <c r="F37" s="38">
        <v>20</v>
      </c>
      <c r="G37" s="38">
        <v>1</v>
      </c>
      <c r="H37" s="38">
        <v>15</v>
      </c>
      <c r="I37" s="38">
        <v>15</v>
      </c>
      <c r="J37" s="38"/>
      <c r="K37" s="39">
        <v>18</v>
      </c>
      <c r="L37" s="39">
        <v>20</v>
      </c>
      <c r="M37" s="389">
        <v>20</v>
      </c>
      <c r="N37" s="364"/>
    </row>
    <row r="38" spans="1:14" ht="24" customHeight="1" x14ac:dyDescent="0.2">
      <c r="A38" s="392" t="str" cm="1">
        <f t="array" ref="A38">INDEX(program_table,ROW()-1)</f>
        <v>Low Impact Camping</v>
      </c>
      <c r="B38" s="38">
        <v>14</v>
      </c>
      <c r="C38" s="38">
        <v>15</v>
      </c>
      <c r="D38" s="38">
        <v>10</v>
      </c>
      <c r="E38" s="38">
        <v>17</v>
      </c>
      <c r="F38" s="38">
        <v>20</v>
      </c>
      <c r="G38" s="38">
        <v>4</v>
      </c>
      <c r="H38" s="38">
        <v>20</v>
      </c>
      <c r="I38" s="38">
        <v>15</v>
      </c>
      <c r="J38" s="38">
        <v>17</v>
      </c>
      <c r="K38" s="38"/>
      <c r="L38" s="38">
        <v>5</v>
      </c>
      <c r="M38" s="388">
        <v>20</v>
      </c>
      <c r="N38" s="364"/>
    </row>
    <row r="39" spans="1:14" ht="24" customHeight="1" x14ac:dyDescent="0.2">
      <c r="A39" s="392" t="str" cm="1">
        <f t="array" ref="A39">INDEX(program_table,ROW()-1)</f>
        <v>Range Sports: 3D Archery</v>
      </c>
      <c r="B39" s="38">
        <v>19</v>
      </c>
      <c r="C39" s="38">
        <v>20</v>
      </c>
      <c r="D39" s="38"/>
      <c r="E39" s="38">
        <v>14</v>
      </c>
      <c r="F39" s="38">
        <v>7</v>
      </c>
      <c r="G39" s="38">
        <v>10</v>
      </c>
      <c r="H39" s="38">
        <v>20</v>
      </c>
      <c r="I39" s="38"/>
      <c r="J39" s="38">
        <v>14</v>
      </c>
      <c r="K39" s="38">
        <v>7</v>
      </c>
      <c r="L39" s="38">
        <v>10</v>
      </c>
      <c r="M39" s="388">
        <v>8</v>
      </c>
      <c r="N39" s="364"/>
    </row>
    <row r="40" spans="1:14" ht="24" customHeight="1" x14ac:dyDescent="0.2">
      <c r="A40" s="392" t="str" cm="1">
        <f t="array" ref="A40">INDEX(program_table,ROW()-1)</f>
        <v>Range Sports: Aerial Archery</v>
      </c>
      <c r="B40" s="38">
        <v>8</v>
      </c>
      <c r="C40" s="38">
        <v>2</v>
      </c>
      <c r="D40" s="38">
        <v>10</v>
      </c>
      <c r="E40" s="38">
        <v>20</v>
      </c>
      <c r="F40" s="38">
        <v>0</v>
      </c>
      <c r="G40" s="38">
        <v>12</v>
      </c>
      <c r="H40" s="38">
        <v>2</v>
      </c>
      <c r="I40" s="38">
        <v>10</v>
      </c>
      <c r="J40" s="38">
        <v>15</v>
      </c>
      <c r="K40" s="38">
        <v>0</v>
      </c>
      <c r="L40" s="38">
        <v>12</v>
      </c>
      <c r="M40" s="388">
        <v>10</v>
      </c>
      <c r="N40" s="364"/>
    </row>
    <row r="41" spans="1:14" ht="24" customHeight="1" x14ac:dyDescent="0.2">
      <c r="A41" s="392" t="str" cm="1">
        <f t="array" ref="A41">INDEX(program_table,ROW()-1)</f>
        <v>Range Sports: Atlatl Throwing</v>
      </c>
      <c r="B41" s="38">
        <v>10</v>
      </c>
      <c r="C41" s="38">
        <v>5</v>
      </c>
      <c r="D41" s="38">
        <v>5</v>
      </c>
      <c r="E41" s="38">
        <v>7</v>
      </c>
      <c r="F41" s="38">
        <v>4</v>
      </c>
      <c r="G41" s="38">
        <v>12</v>
      </c>
      <c r="H41" s="38">
        <v>5</v>
      </c>
      <c r="I41" s="38">
        <v>5</v>
      </c>
      <c r="J41" s="38">
        <v>7</v>
      </c>
      <c r="K41" s="38">
        <v>4</v>
      </c>
      <c r="L41" s="38">
        <v>12</v>
      </c>
      <c r="M41" s="388">
        <v>15</v>
      </c>
      <c r="N41" s="364"/>
    </row>
    <row r="42" spans="1:14" ht="24" customHeight="1" x14ac:dyDescent="0.2">
      <c r="A42" s="392" t="str" cm="1">
        <f t="array" ref="A42">INDEX(program_table,ROW()-1)</f>
        <v>Range Sports: Cartridge Reloading</v>
      </c>
      <c r="B42" s="38">
        <v>18</v>
      </c>
      <c r="C42" s="38">
        <v>17</v>
      </c>
      <c r="D42" s="38">
        <v>6</v>
      </c>
      <c r="E42" s="38"/>
      <c r="F42" s="38">
        <v>12</v>
      </c>
      <c r="G42" s="38">
        <v>13</v>
      </c>
      <c r="H42" s="38">
        <v>5</v>
      </c>
      <c r="I42" s="38">
        <v>16</v>
      </c>
      <c r="J42" s="38">
        <v>3</v>
      </c>
      <c r="K42" s="38">
        <v>13</v>
      </c>
      <c r="L42" s="38">
        <v>14</v>
      </c>
      <c r="M42" s="388">
        <v>18</v>
      </c>
      <c r="N42" s="364"/>
    </row>
    <row r="43" spans="1:14" ht="24" customHeight="1" x14ac:dyDescent="0.2">
      <c r="A43" s="392" t="str" cm="1">
        <f t="array" ref="A43">INDEX(program_table,ROW()-1)</f>
        <v>Range Sports: Cowboy Action Shooting</v>
      </c>
      <c r="B43" s="38">
        <v>15</v>
      </c>
      <c r="C43" s="38">
        <v>10</v>
      </c>
      <c r="D43" s="38">
        <v>20</v>
      </c>
      <c r="E43" s="38">
        <v>15</v>
      </c>
      <c r="F43" s="38">
        <v>12</v>
      </c>
      <c r="G43" s="38">
        <v>20</v>
      </c>
      <c r="H43" s="38">
        <v>10</v>
      </c>
      <c r="I43" s="38">
        <v>6</v>
      </c>
      <c r="J43" s="38">
        <v>10</v>
      </c>
      <c r="K43" s="38">
        <v>5</v>
      </c>
      <c r="L43" s="40" t="s">
        <v>37</v>
      </c>
      <c r="M43" s="388">
        <v>15</v>
      </c>
      <c r="N43" s="364"/>
    </row>
    <row r="44" spans="1:14" ht="24" customHeight="1" x14ac:dyDescent="0.2">
      <c r="A44" s="392" t="str" cm="1">
        <f t="array" ref="A44">INDEX(program_table,ROW()-1)</f>
        <v>Range Sports: Field Archery</v>
      </c>
      <c r="B44" s="38">
        <v>10</v>
      </c>
      <c r="C44" s="38">
        <v>0</v>
      </c>
      <c r="D44" s="38">
        <v>5</v>
      </c>
      <c r="E44" s="38"/>
      <c r="F44" s="38">
        <v>16</v>
      </c>
      <c r="G44" s="38">
        <v>9</v>
      </c>
      <c r="H44" s="38">
        <v>0</v>
      </c>
      <c r="I44" s="38">
        <v>5</v>
      </c>
      <c r="J44" s="38">
        <v>0</v>
      </c>
      <c r="K44" s="38">
        <v>16</v>
      </c>
      <c r="L44" s="38"/>
      <c r="M44" s="388">
        <v>0</v>
      </c>
      <c r="N44" s="364"/>
    </row>
    <row r="45" spans="1:14" ht="24" customHeight="1" x14ac:dyDescent="0.2">
      <c r="A45" s="392" t="str" cm="1">
        <f t="array" ref="A45">INDEX(program_table,ROW()-1)</f>
        <v>Range Sports: Muzzleloader Shooting</v>
      </c>
      <c r="B45" s="38">
        <v>19</v>
      </c>
      <c r="C45" s="38">
        <v>20</v>
      </c>
      <c r="D45" s="38"/>
      <c r="E45" s="38">
        <v>14</v>
      </c>
      <c r="F45" s="38">
        <v>7</v>
      </c>
      <c r="G45" s="38">
        <v>10</v>
      </c>
      <c r="H45" s="38">
        <v>20</v>
      </c>
      <c r="I45" s="38"/>
      <c r="J45" s="38">
        <v>14</v>
      </c>
      <c r="K45" s="38">
        <v>7</v>
      </c>
      <c r="L45" s="38">
        <v>2</v>
      </c>
      <c r="M45" s="388">
        <v>8</v>
      </c>
      <c r="N45" s="364"/>
    </row>
    <row r="46" spans="1:14" ht="24" customHeight="1" x14ac:dyDescent="0.2">
      <c r="A46" s="392" t="str" cm="1">
        <f t="array" ref="A46">INDEX(program_table,ROW()-1)</f>
        <v>Range Sports: Rifle Shooting</v>
      </c>
      <c r="B46" s="38">
        <v>19</v>
      </c>
      <c r="C46" s="38">
        <v>20</v>
      </c>
      <c r="D46" s="38">
        <v>0</v>
      </c>
      <c r="E46" s="38">
        <v>14</v>
      </c>
      <c r="F46" s="38">
        <v>7</v>
      </c>
      <c r="G46" s="38">
        <v>10</v>
      </c>
      <c r="H46" s="38">
        <v>20</v>
      </c>
      <c r="I46" s="38">
        <v>18</v>
      </c>
      <c r="J46" s="38">
        <v>14</v>
      </c>
      <c r="K46" s="38">
        <v>7</v>
      </c>
      <c r="L46" s="38">
        <v>10</v>
      </c>
      <c r="M46" s="388">
        <v>8</v>
      </c>
      <c r="N46" s="364"/>
    </row>
    <row r="47" spans="1:14" ht="24" customHeight="1" x14ac:dyDescent="0.2">
      <c r="A47" s="392" t="str" cm="1">
        <f t="array" ref="A47">INDEX(program_table,ROW()-1)</f>
        <v>Range Sports: Shotgun Shooting</v>
      </c>
      <c r="B47" s="38">
        <v>18</v>
      </c>
      <c r="C47" s="38">
        <v>5</v>
      </c>
      <c r="D47" s="38">
        <v>10</v>
      </c>
      <c r="E47" s="38">
        <v>5</v>
      </c>
      <c r="F47" s="38">
        <v>19</v>
      </c>
      <c r="G47" s="38">
        <v>20</v>
      </c>
      <c r="H47" s="38"/>
      <c r="I47" s="38">
        <v>10</v>
      </c>
      <c r="J47" s="38">
        <v>15</v>
      </c>
      <c r="K47" s="38">
        <v>5</v>
      </c>
      <c r="L47" s="38">
        <v>14</v>
      </c>
      <c r="M47" s="388">
        <v>19</v>
      </c>
      <c r="N47" s="364"/>
    </row>
    <row r="48" spans="1:14" ht="24" customHeight="1" x14ac:dyDescent="0.2">
      <c r="A48" s="392" t="str" cm="1">
        <f t="array" ref="A48">INDEX(program_table,ROW()-1)</f>
        <v>Range Sports: Shotshell Reloading</v>
      </c>
      <c r="B48" s="38">
        <v>20</v>
      </c>
      <c r="C48" s="38">
        <v>5</v>
      </c>
      <c r="D48" s="38">
        <v>16</v>
      </c>
      <c r="E48" s="38">
        <v>20</v>
      </c>
      <c r="F48" s="38">
        <v>20</v>
      </c>
      <c r="G48" s="38">
        <v>1</v>
      </c>
      <c r="H48" s="38">
        <v>15</v>
      </c>
      <c r="I48" s="38">
        <v>15</v>
      </c>
      <c r="J48" s="38"/>
      <c r="K48" s="39">
        <v>18</v>
      </c>
      <c r="L48" s="39">
        <v>20</v>
      </c>
      <c r="M48" s="389">
        <v>20</v>
      </c>
      <c r="N48" s="364"/>
    </row>
    <row r="49" spans="1:14" ht="24" customHeight="1" x14ac:dyDescent="0.2">
      <c r="A49" s="392" t="str" cm="1">
        <f t="array" ref="A49">INDEX(program_table,ROW()-1)</f>
        <v>Range Sports: Tomahawk Throwing</v>
      </c>
      <c r="B49" s="38">
        <v>14</v>
      </c>
      <c r="C49" s="38">
        <v>15</v>
      </c>
      <c r="D49" s="38">
        <v>10</v>
      </c>
      <c r="E49" s="38">
        <v>17</v>
      </c>
      <c r="F49" s="38">
        <v>20</v>
      </c>
      <c r="G49" s="38">
        <v>4</v>
      </c>
      <c r="H49" s="38">
        <v>20</v>
      </c>
      <c r="I49" s="38">
        <v>15</v>
      </c>
      <c r="J49" s="38">
        <v>17</v>
      </c>
      <c r="K49" s="38"/>
      <c r="L49" s="38">
        <v>5</v>
      </c>
      <c r="M49" s="388">
        <v>20</v>
      </c>
      <c r="N49" s="364"/>
    </row>
    <row r="50" spans="1:14" ht="24" customHeight="1" x14ac:dyDescent="0.2">
      <c r="A50" s="392" t="str" cm="1">
        <f t="array" ref="A50">INDEX(program_table,ROW()-1)</f>
        <v>STEM: Archeology</v>
      </c>
      <c r="B50" s="38">
        <v>15</v>
      </c>
      <c r="C50" s="38">
        <v>10</v>
      </c>
      <c r="D50" s="38">
        <v>20</v>
      </c>
      <c r="E50" s="38">
        <v>15</v>
      </c>
      <c r="F50" s="38">
        <v>12</v>
      </c>
      <c r="G50" s="38">
        <v>20</v>
      </c>
      <c r="H50" s="38">
        <v>10</v>
      </c>
      <c r="I50" s="38">
        <v>6</v>
      </c>
      <c r="J50" s="38">
        <v>10</v>
      </c>
      <c r="K50" s="38">
        <v>5</v>
      </c>
      <c r="L50" s="40" t="s">
        <v>37</v>
      </c>
      <c r="M50" s="388">
        <v>15</v>
      </c>
      <c r="N50" s="364"/>
    </row>
    <row r="51" spans="1:14" ht="24" customHeight="1" x14ac:dyDescent="0.2">
      <c r="A51" s="392" t="str" cm="1">
        <f t="array" ref="A51">INDEX(program_table,ROW()-1)</f>
        <v>STEM: Astronomy</v>
      </c>
      <c r="B51" s="38">
        <v>15</v>
      </c>
      <c r="C51" s="38">
        <v>10</v>
      </c>
      <c r="D51" s="38">
        <v>20</v>
      </c>
      <c r="E51" s="38">
        <v>15</v>
      </c>
      <c r="F51" s="38">
        <v>12</v>
      </c>
      <c r="G51" s="38">
        <v>20</v>
      </c>
      <c r="H51" s="38">
        <v>10</v>
      </c>
      <c r="I51" s="38">
        <v>6</v>
      </c>
      <c r="J51" s="38">
        <v>10</v>
      </c>
      <c r="K51" s="38">
        <v>5</v>
      </c>
      <c r="L51" s="40" t="s">
        <v>37</v>
      </c>
      <c r="M51" s="388">
        <v>15</v>
      </c>
      <c r="N51" s="364"/>
    </row>
    <row r="52" spans="1:14" ht="24" customHeight="1" x14ac:dyDescent="0.2">
      <c r="A52" s="392" t="str" cm="1">
        <f t="array" ref="A52">INDEX(program_table,ROW()-1)</f>
        <v>STEM: Geology</v>
      </c>
      <c r="B52" s="38">
        <v>10</v>
      </c>
      <c r="C52" s="38">
        <v>0</v>
      </c>
      <c r="D52" s="38">
        <v>5</v>
      </c>
      <c r="E52" s="38"/>
      <c r="F52" s="38">
        <v>16</v>
      </c>
      <c r="G52" s="38">
        <v>9</v>
      </c>
      <c r="H52" s="38">
        <v>0</v>
      </c>
      <c r="I52" s="38">
        <v>5</v>
      </c>
      <c r="J52" s="38">
        <v>0</v>
      </c>
      <c r="K52" s="38">
        <v>16</v>
      </c>
      <c r="L52" s="38"/>
      <c r="M52" s="388">
        <v>0</v>
      </c>
      <c r="N52" s="364"/>
    </row>
    <row r="53" spans="1:14" ht="24" customHeight="1" x14ac:dyDescent="0.2">
      <c r="A53" s="392" t="str" cm="1">
        <f t="array" ref="A53">INDEX(program_table,ROW()-1)</f>
        <v>Western Lore: Branding</v>
      </c>
      <c r="B53" s="38">
        <v>11</v>
      </c>
      <c r="C53" s="38">
        <v>18</v>
      </c>
      <c r="D53" s="38">
        <v>20</v>
      </c>
      <c r="E53" s="38">
        <v>15</v>
      </c>
      <c r="F53" s="38"/>
      <c r="G53" s="38">
        <v>10</v>
      </c>
      <c r="H53" s="38">
        <v>20</v>
      </c>
      <c r="I53" s="38"/>
      <c r="J53" s="38">
        <v>15</v>
      </c>
      <c r="K53" s="39">
        <v>18</v>
      </c>
      <c r="L53" s="39">
        <v>10</v>
      </c>
      <c r="M53" s="389">
        <v>20</v>
      </c>
      <c r="N53" s="364"/>
    </row>
    <row r="54" spans="1:14" ht="24" customHeight="1" x14ac:dyDescent="0.2">
      <c r="A54" s="392" t="str" cm="1">
        <f t="array" ref="A54">INDEX(program_table,ROW()-1)</f>
        <v>Western Lore: Cantina</v>
      </c>
      <c r="B54" s="38">
        <v>11</v>
      </c>
      <c r="C54" s="38">
        <v>18</v>
      </c>
      <c r="D54" s="38"/>
      <c r="E54" s="38">
        <v>0</v>
      </c>
      <c r="F54" s="38"/>
      <c r="G54" s="38">
        <v>10</v>
      </c>
      <c r="H54" s="38">
        <v>20</v>
      </c>
      <c r="I54" s="38"/>
      <c r="J54" s="38">
        <v>0</v>
      </c>
      <c r="K54" s="39"/>
      <c r="L54" s="39">
        <v>10</v>
      </c>
      <c r="M54" s="389">
        <v>20</v>
      </c>
      <c r="N54" s="364"/>
    </row>
    <row r="55" spans="1:14" ht="24" customHeight="1" thickBot="1" x14ac:dyDescent="0.25">
      <c r="A55" s="399" t="str" cm="1">
        <f t="array" ref="A55">INDEX(program_table,ROW()-1)</f>
        <v>Western Lore: Roping</v>
      </c>
      <c r="B55" s="390">
        <v>20</v>
      </c>
      <c r="C55" s="390">
        <v>14</v>
      </c>
      <c r="D55" s="659">
        <v>16</v>
      </c>
      <c r="E55" s="390">
        <v>20</v>
      </c>
      <c r="F55" s="390">
        <v>20</v>
      </c>
      <c r="G55" s="390"/>
      <c r="H55" s="390">
        <v>15</v>
      </c>
      <c r="I55" s="659">
        <v>15</v>
      </c>
      <c r="J55" s="390">
        <v>12</v>
      </c>
      <c r="K55" s="390">
        <v>18</v>
      </c>
      <c r="L55" s="390">
        <v>20</v>
      </c>
      <c r="M55" s="391">
        <v>20</v>
      </c>
      <c r="N55" s="364"/>
    </row>
  </sheetData>
  <sheetProtection sheet="1" objects="1" scenarios="1" selectLockedCells="1"/>
  <phoneticPr fontId="0" type="noConversion"/>
  <printOptions horizontalCentered="1"/>
  <pageMargins left="0.5" right="0.5" top="0.44" bottom="0.37" header="0.28999999999999998" footer="0.25"/>
  <pageSetup scale="41" orientation="landscape" horizontalDpi="300" verticalDpi="300" r:id="rId1"/>
  <headerFooter alignWithMargins="0">
    <oddHeader>&amp;C&amp;"Arial,Bold"&amp;11Participant Survey Scores</oddHeader>
    <oddFooter>&amp;L&amp;8&amp;F!&amp;A&amp;R&amp;8&amp;D &amp;T</oddFooter>
  </headerFooter>
  <drawing r:id="rId2"/>
  <legacyDrawing r:id="rId3"/>
  <controls>
    <mc:AlternateContent xmlns:mc="http://schemas.openxmlformats.org/markup-compatibility/2006">
      <mc:Choice Requires="x14">
        <control shapeId="6145" r:id="rId4" name="blankScoresButton">
          <controlPr locked="0" defaultSize="0" print="0" autoLine="0" r:id="rId5">
            <anchor moveWithCells="1" sizeWithCells="1">
              <from>
                <xdr:col>0</xdr:col>
                <xdr:colOff>962025</xdr:colOff>
                <xdr:row>0</xdr:row>
                <xdr:rowOff>66675</xdr:rowOff>
              </from>
              <to>
                <xdr:col>0</xdr:col>
                <xdr:colOff>2047875</xdr:colOff>
                <xdr:row>0</xdr:row>
                <xdr:rowOff>361950</xdr:rowOff>
              </to>
            </anchor>
          </controlPr>
        </control>
      </mc:Choice>
      <mc:Fallback>
        <control shapeId="6145" r:id="rId4" name="blankScores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7"/>
    <pageSetUpPr fitToPage="1"/>
  </sheetPr>
  <dimension ref="A1:P64"/>
  <sheetViews>
    <sheetView showGridLines="0" showRowColHeaders="0" showZeros="0" zoomScale="89" zoomScaleNormal="89" zoomScaleSheetLayoutView="196" workbookViewId="0">
      <selection activeCell="A4" sqref="A4"/>
    </sheetView>
  </sheetViews>
  <sheetFormatPr defaultRowHeight="12.75" x14ac:dyDescent="0.2"/>
  <cols>
    <col min="1" max="1" width="13.5703125" style="255" customWidth="1"/>
    <col min="2" max="2" width="15.7109375" style="2" customWidth="1"/>
    <col min="3" max="3" width="11.140625" style="249" customWidth="1"/>
    <col min="4" max="4" width="13" customWidth="1"/>
    <col min="5" max="5" width="10.7109375" customWidth="1"/>
    <col min="6" max="6" width="10.85546875" customWidth="1"/>
    <col min="7" max="7" width="35.7109375" customWidth="1"/>
    <col min="8" max="8" width="7.7109375" style="1" hidden="1" customWidth="1"/>
    <col min="9" max="9" width="6.7109375" style="1" hidden="1" customWidth="1"/>
    <col min="10" max="10" width="9" style="1" hidden="1" customWidth="1"/>
    <col min="11" max="16" width="5.7109375" customWidth="1"/>
  </cols>
  <sheetData>
    <row r="1" spans="1:16" ht="24" customHeight="1" thickBot="1" x14ac:dyDescent="0.25">
      <c r="A1" s="1155" t="s">
        <v>28</v>
      </c>
      <c r="B1" s="1156"/>
      <c r="C1" s="1156"/>
      <c r="D1" s="1156"/>
      <c r="E1" s="1156"/>
      <c r="F1" s="1156"/>
      <c r="G1" s="1156"/>
      <c r="H1" s="1156"/>
      <c r="I1" s="1156"/>
      <c r="J1" s="1156"/>
      <c r="K1" s="1156"/>
      <c r="L1" s="1157"/>
      <c r="M1" s="1157"/>
      <c r="N1" s="1156"/>
      <c r="O1" s="1156"/>
      <c r="P1" s="1158"/>
    </row>
    <row r="2" spans="1:16" ht="12" customHeight="1" x14ac:dyDescent="0.2">
      <c r="A2" s="250"/>
      <c r="B2" s="239"/>
      <c r="C2" s="239"/>
      <c r="D2" s="240"/>
      <c r="E2" s="1161" t="s">
        <v>17</v>
      </c>
      <c r="F2" s="1163"/>
      <c r="G2" s="1114"/>
      <c r="H2" s="1115"/>
      <c r="I2" s="1159" t="s">
        <v>166</v>
      </c>
      <c r="J2" s="1159" t="s">
        <v>165</v>
      </c>
      <c r="K2" s="1152" t="s">
        <v>164</v>
      </c>
      <c r="L2" s="1153"/>
      <c r="M2" s="1153"/>
      <c r="N2" s="1153"/>
      <c r="O2" s="1153"/>
      <c r="P2" s="1154"/>
    </row>
    <row r="3" spans="1:16" ht="13.5" thickBot="1" x14ac:dyDescent="0.25">
      <c r="A3" s="617" t="s">
        <v>1</v>
      </c>
      <c r="B3" s="618" t="s">
        <v>331</v>
      </c>
      <c r="C3" s="619" t="s">
        <v>16</v>
      </c>
      <c r="D3" s="620" t="str">
        <f>IF(meanMedian="Mean","Average",meanMedian) &amp; " Score"</f>
        <v>Total Score</v>
      </c>
      <c r="E3" s="1162"/>
      <c r="F3" s="1164"/>
      <c r="G3" s="1116" t="s">
        <v>609</v>
      </c>
      <c r="H3" s="1117" t="s">
        <v>18</v>
      </c>
      <c r="I3" s="1160"/>
      <c r="J3" s="1160"/>
      <c r="K3" s="1118" t="s">
        <v>624</v>
      </c>
      <c r="L3" s="1118" t="s">
        <v>626</v>
      </c>
      <c r="M3" s="1118" t="s">
        <v>625</v>
      </c>
      <c r="N3" s="1118" t="s">
        <v>627</v>
      </c>
      <c r="O3" s="1118" t="s">
        <v>628</v>
      </c>
      <c r="P3" s="1119" t="s">
        <v>629</v>
      </c>
    </row>
    <row r="4" spans="1:16" ht="12.75" customHeight="1" x14ac:dyDescent="0.2">
      <c r="A4" s="674" t="s">
        <v>624</v>
      </c>
      <c r="B4" s="675" t="s">
        <v>35</v>
      </c>
      <c r="C4" s="676">
        <v>53</v>
      </c>
      <c r="D4" s="621">
        <v>13599.5</v>
      </c>
      <c r="E4" s="677" t="s">
        <v>463</v>
      </c>
      <c r="F4" s="717"/>
      <c r="G4" s="1109" t="s">
        <v>494</v>
      </c>
      <c r="H4" s="1110">
        <v>225</v>
      </c>
      <c r="I4" s="1111">
        <f t="shared" ref="I4:I43" si="0">COUNTIF(K4:P4,"X")</f>
        <v>0</v>
      </c>
      <c r="J4" s="1111">
        <v>2</v>
      </c>
      <c r="K4" s="1112" t="str">
        <f t="array" ref="K4">IF($G4=0,"",IF(INDEX(itineraryPrograms,numericItinerary(K$3),$J4)="y","X",""))</f>
        <v/>
      </c>
      <c r="L4" s="1112" t="str">
        <f t="array" ref="L4">IF($G4=0,"",IF(INDEX(itineraryPrograms,numericItinerary(L$3),$J4)="y","X",""))</f>
        <v/>
      </c>
      <c r="M4" s="1112" t="str">
        <f t="array" ref="M4">IF($G4=0,"",IF(INDEX(itineraryPrograms,numericItinerary(M$3),$J4)="y","X",""))</f>
        <v/>
      </c>
      <c r="N4" s="1112" t="str">
        <f t="array" ref="N4">IF($G4=0,"",IF(INDEX(itineraryPrograms,numericItinerary(N$3),$J4)="y","X",""))</f>
        <v/>
      </c>
      <c r="O4" s="1112" t="str">
        <f t="array" ref="O4">IF($G4=0,"",IF(INDEX(itineraryPrograms,numericItinerary(O$3),$J4)="y","X",""))</f>
        <v/>
      </c>
      <c r="P4" s="1113" t="str">
        <f t="array" ref="P4">IF($G4=0,"",IF(INDEX(itineraryPrograms,numericItinerary(P$3),$J4)="y","X",""))</f>
        <v/>
      </c>
    </row>
    <row r="5" spans="1:16" ht="12.75" customHeight="1" x14ac:dyDescent="0.2">
      <c r="A5" s="181" t="s">
        <v>626</v>
      </c>
      <c r="B5" s="678" t="s">
        <v>35</v>
      </c>
      <c r="C5" s="241">
        <v>57</v>
      </c>
      <c r="D5" s="256">
        <v>13374.5</v>
      </c>
      <c r="E5" s="679" t="s">
        <v>462</v>
      </c>
      <c r="F5" s="717"/>
      <c r="G5" s="55" t="s">
        <v>540</v>
      </c>
      <c r="H5" s="335">
        <v>190</v>
      </c>
      <c r="I5" s="336">
        <f t="shared" si="0"/>
        <v>4</v>
      </c>
      <c r="J5" s="336">
        <v>54</v>
      </c>
      <c r="K5" s="56" t="str">
        <f t="array" ref="K5">IF($G5=0,"",IF(INDEX(itineraryPrograms,numericItinerary(K$3),$J5)="y","X",""))</f>
        <v/>
      </c>
      <c r="L5" s="56" t="str">
        <f t="array" ref="L5">IF($G5=0,"",IF(INDEX(itineraryPrograms,numericItinerary(L$3),$J5)="y","X",""))</f>
        <v/>
      </c>
      <c r="M5" s="56" t="str">
        <f t="array" ref="M5">IF($G5=0,"",IF(INDEX(itineraryPrograms,numericItinerary(M$3),$J5)="y","X",""))</f>
        <v>X</v>
      </c>
      <c r="N5" s="56" t="str">
        <f t="array" ref="N5">IF($G5=0,"",IF(INDEX(itineraryPrograms,numericItinerary(N$3),$J5)="y","X",""))</f>
        <v>X</v>
      </c>
      <c r="O5" s="56" t="str">
        <f t="array" ref="O5">IF($G5=0,"",IF(INDEX(itineraryPrograms,numericItinerary(O$3),$J5)="y","X",""))</f>
        <v>X</v>
      </c>
      <c r="P5" s="57" t="str">
        <f t="array" ref="P5">IF($G5=0,"",IF(INDEX(itineraryPrograms,numericItinerary(P$3),$J5)="y","X",""))</f>
        <v>X</v>
      </c>
    </row>
    <row r="6" spans="1:16" ht="12.75" customHeight="1" x14ac:dyDescent="0.2">
      <c r="A6" s="181" t="s">
        <v>625</v>
      </c>
      <c r="B6" s="678" t="s">
        <v>33</v>
      </c>
      <c r="C6" s="241">
        <v>62</v>
      </c>
      <c r="D6" s="256">
        <v>13363.2</v>
      </c>
      <c r="E6" s="679" t="s">
        <v>464</v>
      </c>
      <c r="F6" s="717"/>
      <c r="G6" s="55" t="s">
        <v>496</v>
      </c>
      <c r="H6" s="335">
        <v>188</v>
      </c>
      <c r="I6" s="336">
        <f t="shared" si="0"/>
        <v>0</v>
      </c>
      <c r="J6" s="336">
        <v>4</v>
      </c>
      <c r="K6" s="56" t="str">
        <f t="array" ref="K6">IF($G6=0,"",IF(INDEX(itineraryPrograms,numericItinerary(K$3),$J6)="y","X",""))</f>
        <v/>
      </c>
      <c r="L6" s="56" t="str">
        <f t="array" ref="L6">IF($G6=0,"",IF(INDEX(itineraryPrograms,numericItinerary(L$3),$J6)="y","X",""))</f>
        <v/>
      </c>
      <c r="M6" s="56" t="str">
        <f t="array" ref="M6">IF($G6=0,"",IF(INDEX(itineraryPrograms,numericItinerary(M$3),$J6)="y","X",""))</f>
        <v/>
      </c>
      <c r="N6" s="56" t="str">
        <f t="array" ref="N6">IF($G6=0,"",IF(INDEX(itineraryPrograms,numericItinerary(N$3),$J6)="y","X",""))</f>
        <v/>
      </c>
      <c r="O6" s="56" t="str">
        <f t="array" ref="O6">IF($G6=0,"",IF(INDEX(itineraryPrograms,numericItinerary(O$3),$J6)="y","X",""))</f>
        <v/>
      </c>
      <c r="P6" s="57" t="str">
        <f t="array" ref="P6">IF($G6=0,"",IF(INDEX(itineraryPrograms,numericItinerary(P$3),$J6)="y","X",""))</f>
        <v/>
      </c>
    </row>
    <row r="7" spans="1:16" ht="12.75" customHeight="1" x14ac:dyDescent="0.2">
      <c r="A7" s="181" t="s">
        <v>627</v>
      </c>
      <c r="B7" s="678" t="s">
        <v>35</v>
      </c>
      <c r="C7" s="241">
        <v>53</v>
      </c>
      <c r="D7" s="256">
        <v>12817</v>
      </c>
      <c r="E7" s="679" t="s">
        <v>459</v>
      </c>
      <c r="F7" s="717"/>
      <c r="G7" s="55" t="s">
        <v>544</v>
      </c>
      <c r="H7" s="335">
        <v>170</v>
      </c>
      <c r="I7" s="336">
        <f t="shared" si="0"/>
        <v>1</v>
      </c>
      <c r="J7" s="336">
        <v>42</v>
      </c>
      <c r="K7" s="56" t="str">
        <f t="array" ref="K7">IF($G7=0,"",IF(INDEX(itineraryPrograms,numericItinerary(K$3),$J7)="y","X",""))</f>
        <v/>
      </c>
      <c r="L7" s="56" t="str">
        <f t="array" ref="L7">IF($G7=0,"",IF(INDEX(itineraryPrograms,numericItinerary(L$3),$J7)="y","X",""))</f>
        <v>X</v>
      </c>
      <c r="M7" s="56" t="str">
        <f t="array" ref="M7">IF($G7=0,"",IF(INDEX(itineraryPrograms,numericItinerary(M$3),$J7)="y","X",""))</f>
        <v/>
      </c>
      <c r="N7" s="56" t="str">
        <f t="array" ref="N7">IF($G7=0,"",IF(INDEX(itineraryPrograms,numericItinerary(N$3),$J7)="y","X",""))</f>
        <v/>
      </c>
      <c r="O7" s="56" t="str">
        <f t="array" ref="O7">IF($G7=0,"",IF(INDEX(itineraryPrograms,numericItinerary(O$3),$J7)="y","X",""))</f>
        <v/>
      </c>
      <c r="P7" s="57" t="str">
        <f t="array" ref="P7">IF($G7=0,"",IF(INDEX(itineraryPrograms,numericItinerary(P$3),$J7)="y","X",""))</f>
        <v/>
      </c>
    </row>
    <row r="8" spans="1:16" ht="12.75" customHeight="1" x14ac:dyDescent="0.2">
      <c r="A8" s="181" t="s">
        <v>628</v>
      </c>
      <c r="B8" s="678" t="s">
        <v>34</v>
      </c>
      <c r="C8" s="241">
        <v>44</v>
      </c>
      <c r="D8" s="256">
        <v>11933.8</v>
      </c>
      <c r="E8" s="679" t="s">
        <v>460</v>
      </c>
      <c r="F8" s="717"/>
      <c r="G8" s="55" t="s">
        <v>525</v>
      </c>
      <c r="H8" s="335">
        <v>170</v>
      </c>
      <c r="I8" s="336">
        <f t="shared" si="0"/>
        <v>4</v>
      </c>
      <c r="J8" s="336">
        <v>36</v>
      </c>
      <c r="K8" s="56" t="str">
        <f t="array" ref="K8">IF($G8=0,"",IF(INDEX(itineraryPrograms,numericItinerary(K$3),$J8)="y","X",""))</f>
        <v>X</v>
      </c>
      <c r="L8" s="56" t="str">
        <f t="array" ref="L8">IF($G8=0,"",IF(INDEX(itineraryPrograms,numericItinerary(L$3),$J8)="y","X",""))</f>
        <v/>
      </c>
      <c r="M8" s="56" t="str">
        <f t="array" ref="M8">IF($G8=0,"",IF(INDEX(itineraryPrograms,numericItinerary(M$3),$J8)="y","X",""))</f>
        <v>X</v>
      </c>
      <c r="N8" s="56" t="str">
        <f t="array" ref="N8">IF($G8=0,"",IF(INDEX(itineraryPrograms,numericItinerary(N$3),$J8)="y","X",""))</f>
        <v/>
      </c>
      <c r="O8" s="56" t="str">
        <f t="array" ref="O8">IF($G8=0,"",IF(INDEX(itineraryPrograms,numericItinerary(O$3),$J8)="y","X",""))</f>
        <v>X</v>
      </c>
      <c r="P8" s="57" t="str">
        <f t="array" ref="P8">IF($G8=0,"",IF(INDEX(itineraryPrograms,numericItinerary(P$3),$J8)="y","X",""))</f>
        <v>X</v>
      </c>
    </row>
    <row r="9" spans="1:16" ht="12.75" customHeight="1" thickBot="1" x14ac:dyDescent="0.25">
      <c r="A9" s="252" t="s">
        <v>629</v>
      </c>
      <c r="B9" s="680" t="s">
        <v>33</v>
      </c>
      <c r="C9" s="242">
        <v>42</v>
      </c>
      <c r="D9" s="622">
        <v>11543.4</v>
      </c>
      <c r="E9" s="681" t="s">
        <v>461</v>
      </c>
      <c r="F9" s="717"/>
      <c r="G9" s="55" t="s">
        <v>530</v>
      </c>
      <c r="H9" s="335">
        <v>157</v>
      </c>
      <c r="I9" s="336">
        <f t="shared" si="0"/>
        <v>0</v>
      </c>
      <c r="J9" s="336">
        <v>43</v>
      </c>
      <c r="K9" s="56" t="str">
        <f t="array" ref="K9">IF($G9=0,"",IF(INDEX(itineraryPrograms,numericItinerary(K$3),$J9)="y","X",""))</f>
        <v/>
      </c>
      <c r="L9" s="56" t="str">
        <f t="array" ref="L9">IF($G9=0,"",IF(INDEX(itineraryPrograms,numericItinerary(L$3),$J9)="y","X",""))</f>
        <v/>
      </c>
      <c r="M9" s="56" t="str">
        <f t="array" ref="M9">IF($G9=0,"",IF(INDEX(itineraryPrograms,numericItinerary(M$3),$J9)="y","X",""))</f>
        <v/>
      </c>
      <c r="N9" s="56" t="str">
        <f t="array" ref="N9">IF($G9=0,"",IF(INDEX(itineraryPrograms,numericItinerary(N$3),$J9)="y","X",""))</f>
        <v/>
      </c>
      <c r="O9" s="56" t="str">
        <f t="array" ref="O9">IF($G9=0,"",IF(INDEX(itineraryPrograms,numericItinerary(O$3),$J9)="y","X",""))</f>
        <v/>
      </c>
      <c r="P9" s="57" t="str">
        <f t="array" ref="P9">IF($G9=0,"",IF(INDEX(itineraryPrograms,numericItinerary(P$3),$J9)="y","X",""))</f>
        <v/>
      </c>
    </row>
    <row r="10" spans="1:16" ht="12.75" customHeight="1" x14ac:dyDescent="0.2">
      <c r="A10" s="251" t="s">
        <v>631</v>
      </c>
      <c r="B10" s="243" t="s">
        <v>173</v>
      </c>
      <c r="C10" s="244">
        <v>40</v>
      </c>
      <c r="D10" s="257">
        <v>11089.3</v>
      </c>
      <c r="E10" s="368"/>
      <c r="F10" s="357"/>
      <c r="G10" s="55" t="s">
        <v>538</v>
      </c>
      <c r="H10" s="335">
        <v>157</v>
      </c>
      <c r="I10" s="336">
        <f t="shared" si="0"/>
        <v>2</v>
      </c>
      <c r="J10" s="336">
        <v>52</v>
      </c>
      <c r="K10" s="56" t="str">
        <f t="array" ref="K10">IF($G10=0,"",IF(INDEX(itineraryPrograms,numericItinerary(K$3),$J10)="y","X",""))</f>
        <v>X</v>
      </c>
      <c r="L10" s="56" t="str">
        <f t="array" ref="L10">IF($G10=0,"",IF(INDEX(itineraryPrograms,numericItinerary(L$3),$J10)="y","X",""))</f>
        <v/>
      </c>
      <c r="M10" s="56" t="str">
        <f t="array" ref="M10">IF($G10=0,"",IF(INDEX(itineraryPrograms,numericItinerary(M$3),$J10)="y","X",""))</f>
        <v/>
      </c>
      <c r="N10" s="56" t="str">
        <f t="array" ref="N10">IF($G10=0,"",IF(INDEX(itineraryPrograms,numericItinerary(N$3),$J10)="y","X",""))</f>
        <v>X</v>
      </c>
      <c r="O10" s="56" t="str">
        <f t="array" ref="O10">IF($G10=0,"",IF(INDEX(itineraryPrograms,numericItinerary(O$3),$J10)="y","X",""))</f>
        <v/>
      </c>
      <c r="P10" s="57" t="str">
        <f t="array" ref="P10">IF($G10=0,"",IF(INDEX(itineraryPrograms,numericItinerary(P$3),$J10)="y","X",""))</f>
        <v/>
      </c>
    </row>
    <row r="11" spans="1:16" ht="12.75" customHeight="1" x14ac:dyDescent="0.2">
      <c r="A11" s="251" t="s">
        <v>630</v>
      </c>
      <c r="B11" s="243" t="s">
        <v>34</v>
      </c>
      <c r="C11" s="244">
        <v>42</v>
      </c>
      <c r="D11" s="257">
        <v>11007.1</v>
      </c>
      <c r="E11" s="368"/>
      <c r="F11" s="357"/>
      <c r="G11" s="55" t="s">
        <v>288</v>
      </c>
      <c r="H11" s="335">
        <v>157</v>
      </c>
      <c r="I11" s="336">
        <f t="shared" si="0"/>
        <v>1</v>
      </c>
      <c r="J11" s="336">
        <v>37</v>
      </c>
      <c r="K11" s="56" t="str">
        <f t="array" ref="K11">IF($G11=0,"",IF(INDEX(itineraryPrograms,numericItinerary(K$3),$J11)="y","X",""))</f>
        <v/>
      </c>
      <c r="L11" s="56" t="str">
        <f t="array" ref="L11">IF($G11=0,"",IF(INDEX(itineraryPrograms,numericItinerary(L$3),$J11)="y","X",""))</f>
        <v/>
      </c>
      <c r="M11" s="56" t="str">
        <f t="array" ref="M11">IF($G11=0,"",IF(INDEX(itineraryPrograms,numericItinerary(M$3),$J11)="y","X",""))</f>
        <v/>
      </c>
      <c r="N11" s="56" t="str">
        <f t="array" ref="N11">IF($G11=0,"",IF(INDEX(itineraryPrograms,numericItinerary(N$3),$J11)="y","X",""))</f>
        <v/>
      </c>
      <c r="O11" s="56" t="str">
        <f t="array" ref="O11">IF($G11=0,"",IF(INDEX(itineraryPrograms,numericItinerary(O$3),$J11)="y","X",""))</f>
        <v/>
      </c>
      <c r="P11" s="57" t="str">
        <f t="array" ref="P11">IF($G11=0,"",IF(INDEX(itineraryPrograms,numericItinerary(P$3),$J11)="y","X",""))</f>
        <v>X</v>
      </c>
    </row>
    <row r="12" spans="1:16" ht="12.75" customHeight="1" x14ac:dyDescent="0.2">
      <c r="A12" s="251" t="s">
        <v>632</v>
      </c>
      <c r="B12" s="243" t="s">
        <v>34</v>
      </c>
      <c r="C12" s="244">
        <v>42</v>
      </c>
      <c r="D12" s="257">
        <v>10761.1</v>
      </c>
      <c r="E12" s="368"/>
      <c r="F12" s="357"/>
      <c r="G12" s="55" t="s">
        <v>493</v>
      </c>
      <c r="H12" s="335">
        <v>152</v>
      </c>
      <c r="I12" s="336">
        <f t="shared" si="0"/>
        <v>0</v>
      </c>
      <c r="J12" s="336">
        <v>1</v>
      </c>
      <c r="K12" s="56" t="str">
        <f t="array" ref="K12">IF($G12=0,"",IF(INDEX(itineraryPrograms,numericItinerary(K$3),$J12)="y","X",""))</f>
        <v/>
      </c>
      <c r="L12" s="56" t="str">
        <f t="array" ref="L12">IF($G12=0,"",IF(INDEX(itineraryPrograms,numericItinerary(L$3),$J12)="y","X",""))</f>
        <v/>
      </c>
      <c r="M12" s="56" t="str">
        <f t="array" ref="M12">IF($G12=0,"",IF(INDEX(itineraryPrograms,numericItinerary(M$3),$J12)="y","X",""))</f>
        <v/>
      </c>
      <c r="N12" s="56" t="str">
        <f t="array" ref="N12">IF($G12=0,"",IF(INDEX(itineraryPrograms,numericItinerary(N$3),$J12)="y","X",""))</f>
        <v/>
      </c>
      <c r="O12" s="56" t="str">
        <f t="array" ref="O12">IF($G12=0,"",IF(INDEX(itineraryPrograms,numericItinerary(O$3),$J12)="y","X",""))</f>
        <v/>
      </c>
      <c r="P12" s="57" t="str">
        <f t="array" ref="P12">IF($G12=0,"",IF(INDEX(itineraryPrograms,numericItinerary(P$3),$J12)="y","X",""))</f>
        <v/>
      </c>
    </row>
    <row r="13" spans="1:16" ht="12.75" customHeight="1" x14ac:dyDescent="0.2">
      <c r="A13" s="251" t="s">
        <v>633</v>
      </c>
      <c r="B13" s="243" t="s">
        <v>33</v>
      </c>
      <c r="C13" s="244">
        <v>36</v>
      </c>
      <c r="D13" s="257">
        <v>10674.2</v>
      </c>
      <c r="E13" s="368"/>
      <c r="F13" s="357"/>
      <c r="G13" s="55" t="s">
        <v>523</v>
      </c>
      <c r="H13" s="335">
        <v>147</v>
      </c>
      <c r="I13" s="336">
        <f t="shared" si="0"/>
        <v>5</v>
      </c>
      <c r="J13" s="336">
        <v>34</v>
      </c>
      <c r="K13" s="56" t="str">
        <f t="array" ref="K13">IF($G13=0,"",IF(INDEX(itineraryPrograms,numericItinerary(K$3),$J13)="y","X",""))</f>
        <v>X</v>
      </c>
      <c r="L13" s="56" t="str">
        <f t="array" ref="L13">IF($G13=0,"",IF(INDEX(itineraryPrograms,numericItinerary(L$3),$J13)="y","X",""))</f>
        <v>X</v>
      </c>
      <c r="M13" s="56" t="str">
        <f t="array" ref="M13">IF($G13=0,"",IF(INDEX(itineraryPrograms,numericItinerary(M$3),$J13)="y","X",""))</f>
        <v>X</v>
      </c>
      <c r="N13" s="56" t="str">
        <f t="array" ref="N13">IF($G13=0,"",IF(INDEX(itineraryPrograms,numericItinerary(N$3),$J13)="y","X",""))</f>
        <v/>
      </c>
      <c r="O13" s="56" t="str">
        <f t="array" ref="O13">IF($G13=0,"",IF(INDEX(itineraryPrograms,numericItinerary(O$3),$J13)="y","X",""))</f>
        <v>X</v>
      </c>
      <c r="P13" s="57" t="str">
        <f t="array" ref="P13">IF($G13=0,"",IF(INDEX(itineraryPrograms,numericItinerary(P$3),$J13)="y","X",""))</f>
        <v>X</v>
      </c>
    </row>
    <row r="14" spans="1:16" ht="12.75" customHeight="1" x14ac:dyDescent="0.2">
      <c r="A14" s="251" t="s">
        <v>634</v>
      </c>
      <c r="B14" s="243" t="s">
        <v>173</v>
      </c>
      <c r="C14" s="244">
        <v>36</v>
      </c>
      <c r="D14" s="257">
        <v>10262</v>
      </c>
      <c r="E14" s="368"/>
      <c r="F14" s="357"/>
      <c r="G14" s="55" t="s">
        <v>528</v>
      </c>
      <c r="H14" s="335">
        <v>147</v>
      </c>
      <c r="I14" s="336"/>
      <c r="J14" s="336">
        <v>40</v>
      </c>
      <c r="K14" s="56"/>
      <c r="L14" s="56"/>
      <c r="M14" s="56"/>
      <c r="N14" s="56"/>
      <c r="O14" s="56"/>
      <c r="P14" s="57"/>
    </row>
    <row r="15" spans="1:16" ht="12.75" customHeight="1" thickBot="1" x14ac:dyDescent="0.25">
      <c r="A15" s="252" t="s">
        <v>635</v>
      </c>
      <c r="B15" s="242" t="s">
        <v>173</v>
      </c>
      <c r="C15" s="245">
        <v>41</v>
      </c>
      <c r="D15" s="258">
        <v>9679.2999999999993</v>
      </c>
      <c r="E15" s="1150" t="str">
        <f>meanMedian &amp; " Score Selected"</f>
        <v>Total Score Selected</v>
      </c>
      <c r="F15" s="1151"/>
      <c r="G15" s="55" t="s">
        <v>524</v>
      </c>
      <c r="H15" s="335">
        <v>140</v>
      </c>
      <c r="I15" s="336"/>
      <c r="J15" s="336">
        <v>35</v>
      </c>
      <c r="K15" s="56"/>
      <c r="L15" s="56"/>
      <c r="M15" s="56"/>
      <c r="N15" s="56"/>
      <c r="O15" s="56"/>
      <c r="P15" s="57"/>
    </row>
    <row r="16" spans="1:16" ht="12.75" customHeight="1" x14ac:dyDescent="0.2">
      <c r="A16" s="253" t="s">
        <v>274</v>
      </c>
      <c r="B16" s="246"/>
      <c r="C16" s="248"/>
      <c r="E16" s="54"/>
      <c r="F16" s="54"/>
      <c r="G16" s="55" t="s">
        <v>529</v>
      </c>
      <c r="H16" s="335">
        <v>140</v>
      </c>
      <c r="I16" s="336">
        <f t="shared" si="0"/>
        <v>1</v>
      </c>
      <c r="J16" s="336">
        <v>41</v>
      </c>
      <c r="K16" s="56" t="str">
        <f t="array" ref="K16">IF($G16=0,"",IF(INDEX(itineraryPrograms,numericItinerary(K$3),$J16)="y","X",""))</f>
        <v/>
      </c>
      <c r="L16" s="56" t="str">
        <f t="array" ref="L16">IF($G16=0,"",IF(INDEX(itineraryPrograms,numericItinerary(L$3),$J16)="y","X",""))</f>
        <v/>
      </c>
      <c r="M16" s="56" t="str">
        <f t="array" ref="M16">IF($G16=0,"",IF(INDEX(itineraryPrograms,numericItinerary(M$3),$J16)="y","X",""))</f>
        <v>X</v>
      </c>
      <c r="N16" s="56" t="str">
        <f t="array" ref="N16">IF($G16=0,"",IF(INDEX(itineraryPrograms,numericItinerary(N$3),$J16)="y","X",""))</f>
        <v/>
      </c>
      <c r="O16" s="56" t="str">
        <f t="array" ref="O16">IF($G16=0,"",IF(INDEX(itineraryPrograms,numericItinerary(O$3),$J16)="y","X",""))</f>
        <v/>
      </c>
      <c r="P16" s="57" t="str">
        <f t="array" ref="P16">IF($G16=0,"",IF(INDEX(itineraryPrograms,numericItinerary(P$3),$J16)="y","X",""))</f>
        <v/>
      </c>
    </row>
    <row r="17" spans="1:16" ht="12.75" customHeight="1" x14ac:dyDescent="0.2">
      <c r="A17" s="351" t="s">
        <v>279</v>
      </c>
      <c r="B17" s="353" t="str">
        <f>UPPER(areaImportant)</f>
        <v>Y</v>
      </c>
      <c r="C17" s="248"/>
      <c r="E17" s="54"/>
      <c r="F17" s="54"/>
      <c r="G17" s="55" t="s">
        <v>536</v>
      </c>
      <c r="H17" s="335">
        <v>138</v>
      </c>
      <c r="I17" s="336">
        <f t="shared" si="0"/>
        <v>3</v>
      </c>
      <c r="J17" s="336">
        <v>50</v>
      </c>
      <c r="K17" s="56" t="str">
        <f t="array" ref="K17">IF($G17=0,"",IF(INDEX(itineraryPrograms,numericItinerary(K$3),$J17)="y","X",""))</f>
        <v>X</v>
      </c>
      <c r="L17" s="56" t="str">
        <f t="array" ref="L17">IF($G17=0,"",IF(INDEX(itineraryPrograms,numericItinerary(L$3),$J17)="y","X",""))</f>
        <v/>
      </c>
      <c r="M17" s="56" t="str">
        <f t="array" ref="M17">IF($G17=0,"",IF(INDEX(itineraryPrograms,numericItinerary(M$3),$J17)="y","X",""))</f>
        <v>X</v>
      </c>
      <c r="N17" s="56" t="str">
        <f t="array" ref="N17">IF($G17=0,"",IF(INDEX(itineraryPrograms,numericItinerary(N$3),$J17)="y","X",""))</f>
        <v>X</v>
      </c>
      <c r="O17" s="56" t="str">
        <f t="array" ref="O17">IF($G17=0,"",IF(INDEX(itineraryPrograms,numericItinerary(O$3),$J17)="y","X",""))</f>
        <v/>
      </c>
      <c r="P17" s="57" t="str">
        <f t="array" ref="P17">IF($G17=0,"",IF(INDEX(itineraryPrograms,numericItinerary(P$3),$J17)="y","X",""))</f>
        <v/>
      </c>
    </row>
    <row r="18" spans="1:16" ht="12.75" customHeight="1" x14ac:dyDescent="0.2">
      <c r="A18" s="351" t="s">
        <v>280</v>
      </c>
      <c r="B18" s="354">
        <f>IF(UPPER(areaImportant)="Y",Preferences!B7,"")</f>
        <v>3</v>
      </c>
      <c r="C18" s="248"/>
      <c r="E18" s="54"/>
      <c r="F18" s="54"/>
      <c r="G18" s="55" t="s">
        <v>534</v>
      </c>
      <c r="H18" s="335">
        <v>138</v>
      </c>
      <c r="I18" s="336">
        <f t="shared" si="0"/>
        <v>1</v>
      </c>
      <c r="J18" s="336">
        <v>48</v>
      </c>
      <c r="K18" s="56" t="str">
        <f t="array" ref="K18">IF($G18=0,"",IF(INDEX(itineraryPrograms,numericItinerary(K$3),$J18)="y","X",""))</f>
        <v/>
      </c>
      <c r="L18" s="56" t="str">
        <f t="array" ref="L18">IF($G18=0,"",IF(INDEX(itineraryPrograms,numericItinerary(L$3),$J18)="y","X",""))</f>
        <v>X</v>
      </c>
      <c r="M18" s="56" t="str">
        <f t="array" ref="M18">IF($G18=0,"",IF(INDEX(itineraryPrograms,numericItinerary(M$3),$J18)="y","X",""))</f>
        <v/>
      </c>
      <c r="N18" s="56" t="str">
        <f t="array" ref="N18">IF($G18=0,"",IF(INDEX(itineraryPrograms,numericItinerary(N$3),$J18)="y","X",""))</f>
        <v/>
      </c>
      <c r="O18" s="56" t="str">
        <f t="array" ref="O18">IF($G18=0,"",IF(INDEX(itineraryPrograms,numericItinerary(O$3),$J18)="y","X",""))</f>
        <v/>
      </c>
      <c r="P18" s="57" t="str">
        <f t="array" ref="P18">IF($G18=0,"",IF(INDEX(itineraryPrograms,numericItinerary(P$3),$J18)="y","X",""))</f>
        <v/>
      </c>
    </row>
    <row r="19" spans="1:16" ht="12.75" customHeight="1" x14ac:dyDescent="0.2">
      <c r="A19" s="351" t="s">
        <v>281</v>
      </c>
      <c r="B19" s="354">
        <f>IF(UPPER(areaImportant)="Y",Preferences!B8,"")</f>
        <v>4</v>
      </c>
      <c r="C19" s="248"/>
      <c r="D19" s="629">
        <f>MIN(rankedScore)</f>
        <v>9679.2999999999993</v>
      </c>
      <c r="E19" s="54"/>
      <c r="F19" s="54"/>
      <c r="G19" s="55" t="s">
        <v>535</v>
      </c>
      <c r="H19" s="335">
        <v>138</v>
      </c>
      <c r="I19" s="336">
        <f t="shared" si="0"/>
        <v>3</v>
      </c>
      <c r="J19" s="336">
        <v>49</v>
      </c>
      <c r="K19" s="56" t="str">
        <f t="array" ref="K19">IF($G19=0,"",IF(INDEX(itineraryPrograms,numericItinerary(K$3),$J19)="y","X",""))</f>
        <v>X</v>
      </c>
      <c r="L19" s="56" t="str">
        <f t="array" ref="L19">IF($G19=0,"",IF(INDEX(itineraryPrograms,numericItinerary(L$3),$J19)="y","X",""))</f>
        <v>X</v>
      </c>
      <c r="M19" s="56" t="str">
        <f t="array" ref="M19">IF($G19=0,"",IF(INDEX(itineraryPrograms,numericItinerary(M$3),$J19)="y","X",""))</f>
        <v/>
      </c>
      <c r="N19" s="56" t="str">
        <f t="array" ref="N19">IF($G19=0,"",IF(INDEX(itineraryPrograms,numericItinerary(N$3),$J19)="y","X",""))</f>
        <v>X</v>
      </c>
      <c r="O19" s="56" t="str">
        <f t="array" ref="O19">IF($G19=0,"",IF(INDEX(itineraryPrograms,numericItinerary(O$3),$J19)="y","X",""))</f>
        <v/>
      </c>
      <c r="P19" s="57" t="str">
        <f t="array" ref="P19">IF($G19=0,"",IF(INDEX(itineraryPrograms,numericItinerary(P$3),$J19)="y","X",""))</f>
        <v/>
      </c>
    </row>
    <row r="20" spans="1:16" ht="12.75" customHeight="1" x14ac:dyDescent="0.2">
      <c r="A20" s="351" t="s">
        <v>282</v>
      </c>
      <c r="B20" s="354">
        <f>IF(UPPER(areaImportant)="Y",Preferences!B9,"")</f>
        <v>1</v>
      </c>
      <c r="C20" s="248"/>
      <c r="D20" s="629">
        <f>MAX(rankedScore)</f>
        <v>13599.5</v>
      </c>
      <c r="E20" s="54"/>
      <c r="F20" s="54"/>
      <c r="G20" s="55" t="s">
        <v>533</v>
      </c>
      <c r="H20" s="335">
        <v>135</v>
      </c>
      <c r="I20" s="336">
        <f t="shared" si="0"/>
        <v>1</v>
      </c>
      <c r="J20" s="336">
        <v>47</v>
      </c>
      <c r="K20" s="56" t="str">
        <f t="array" ref="K20">IF($G20=0,"",IF(INDEX(itineraryPrograms,numericItinerary(K$3),$J20)="y","X",""))</f>
        <v/>
      </c>
      <c r="L20" s="56" t="str">
        <f t="array" ref="L20">IF($G20=0,"",IF(INDEX(itineraryPrograms,numericItinerary(L$3),$J20)="y","X",""))</f>
        <v>X</v>
      </c>
      <c r="M20" s="56" t="str">
        <f t="array" ref="M20">IF($G20=0,"",IF(INDEX(itineraryPrograms,numericItinerary(M$3),$J20)="y","X",""))</f>
        <v/>
      </c>
      <c r="N20" s="56" t="str">
        <f t="array" ref="N20">IF($G20=0,"",IF(INDEX(itineraryPrograms,numericItinerary(N$3),$J20)="y","X",""))</f>
        <v/>
      </c>
      <c r="O20" s="56" t="str">
        <f t="array" ref="O20">IF($G20=0,"",IF(INDEX(itineraryPrograms,numericItinerary(O$3),$J20)="y","X",""))</f>
        <v/>
      </c>
      <c r="P20" s="57" t="str">
        <f t="array" ref="P20">IF($G20=0,"",IF(INDEX(itineraryPrograms,numericItinerary(P$3),$J20)="y","X",""))</f>
        <v/>
      </c>
    </row>
    <row r="21" spans="1:16" ht="12.75" customHeight="1" x14ac:dyDescent="0.2">
      <c r="A21" s="351" t="s">
        <v>283</v>
      </c>
      <c r="B21" s="354">
        <f>IF(UPPER(areaImportant)="Y",Preferences!B10,"")</f>
        <v>2</v>
      </c>
      <c r="C21" s="248"/>
      <c r="E21" s="54"/>
      <c r="F21" s="54"/>
      <c r="G21" s="55" t="s">
        <v>521</v>
      </c>
      <c r="H21" s="335">
        <v>135</v>
      </c>
      <c r="I21" s="336">
        <f t="shared" si="0"/>
        <v>4</v>
      </c>
      <c r="J21" s="336">
        <v>31</v>
      </c>
      <c r="K21" s="56" t="str">
        <f t="array" ref="K21">IF($G21=0,"",IF(INDEX(itineraryPrograms,numericItinerary(K$3),$J21)="y","X",""))</f>
        <v>X</v>
      </c>
      <c r="L21" s="56" t="str">
        <f t="array" ref="L21">IF($G21=0,"",IF(INDEX(itineraryPrograms,numericItinerary(L$3),$J21)="y","X",""))</f>
        <v>X</v>
      </c>
      <c r="M21" s="56" t="str">
        <f t="array" ref="M21">IF($G21=0,"",IF(INDEX(itineraryPrograms,numericItinerary(M$3),$J21)="y","X",""))</f>
        <v/>
      </c>
      <c r="N21" s="56" t="str">
        <f t="array" ref="N21">IF($G21=0,"",IF(INDEX(itineraryPrograms,numericItinerary(N$3),$J21)="y","X",""))</f>
        <v>X</v>
      </c>
      <c r="O21" s="56" t="str">
        <f t="array" ref="O21">IF($G21=0,"",IF(INDEX(itineraryPrograms,numericItinerary(O$3),$J21)="y","X",""))</f>
        <v>X</v>
      </c>
      <c r="P21" s="57" t="str">
        <f t="array" ref="P21">IF($G21=0,"",IF(INDEX(itineraryPrograms,numericItinerary(P$3),$J21)="y","X",""))</f>
        <v/>
      </c>
    </row>
    <row r="22" spans="1:16" ht="12.75" customHeight="1" x14ac:dyDescent="0.2">
      <c r="A22" s="351" t="s">
        <v>275</v>
      </c>
      <c r="B22" s="353">
        <f>skillLevel</f>
        <v>6</v>
      </c>
      <c r="C22" s="248"/>
      <c r="E22" s="54"/>
      <c r="F22" s="54"/>
      <c r="G22" s="55" t="s">
        <v>517</v>
      </c>
      <c r="H22" s="335">
        <v>134</v>
      </c>
      <c r="I22" s="336">
        <f t="shared" si="0"/>
        <v>1</v>
      </c>
      <c r="J22" s="336">
        <v>25</v>
      </c>
      <c r="K22" s="56" t="str">
        <f t="array" ref="K22">IF($G22=0,"",IF(INDEX(itineraryPrograms,numericItinerary(K$3),$J22)="y","X",""))</f>
        <v/>
      </c>
      <c r="L22" s="56" t="str">
        <f t="array" ref="L22">IF($G22=0,"",IF(INDEX(itineraryPrograms,numericItinerary(L$3),$J22)="y","X",""))</f>
        <v/>
      </c>
      <c r="M22" s="56" t="str">
        <f t="array" ref="M22">IF($G22=0,"",IF(INDEX(itineraryPrograms,numericItinerary(M$3),$J22)="y","X",""))</f>
        <v/>
      </c>
      <c r="N22" s="56" t="str">
        <f t="array" ref="N22">IF($G22=0,"",IF(INDEX(itineraryPrograms,numericItinerary(N$3),$J22)="y","X",""))</f>
        <v>X</v>
      </c>
      <c r="O22" s="56" t="str">
        <f t="array" ref="O22">IF($G22=0,"",IF(INDEX(itineraryPrograms,numericItinerary(O$3),$J22)="y","X",""))</f>
        <v/>
      </c>
      <c r="P22" s="57" t="str">
        <f t="array" ref="P22">IF($G22=0,"",IF(INDEX(itineraryPrograms,numericItinerary(P$3),$J22)="y","X",""))</f>
        <v/>
      </c>
    </row>
    <row r="23" spans="1:16" ht="12.75" customHeight="1" x14ac:dyDescent="0.2">
      <c r="A23" s="351" t="s">
        <v>416</v>
      </c>
      <c r="B23" s="353" t="str">
        <f>UPPER(hikeOut)</f>
        <v>N</v>
      </c>
      <c r="C23" s="248"/>
      <c r="G23" s="55" t="s">
        <v>526</v>
      </c>
      <c r="H23" s="335">
        <v>129</v>
      </c>
      <c r="I23" s="336">
        <f t="shared" si="0"/>
        <v>2</v>
      </c>
      <c r="J23" s="336">
        <v>38</v>
      </c>
      <c r="K23" s="56" t="str">
        <f t="array" ref="K23">IF($G23=0,"",IF(INDEX(itineraryPrograms,numericItinerary(K$3),$J23)="y","X",""))</f>
        <v>X</v>
      </c>
      <c r="L23" s="56" t="str">
        <f t="array" ref="L23">IF($G23=0,"",IF(INDEX(itineraryPrograms,numericItinerary(L$3),$J23)="y","X",""))</f>
        <v/>
      </c>
      <c r="M23" s="56" t="str">
        <f t="array" ref="M23">IF($G23=0,"",IF(INDEX(itineraryPrograms,numericItinerary(M$3),$J23)="y","X",""))</f>
        <v>X</v>
      </c>
      <c r="N23" s="56" t="str">
        <f t="array" ref="N23">IF($G23=0,"",IF(INDEX(itineraryPrograms,numericItinerary(N$3),$J23)="y","X",""))</f>
        <v/>
      </c>
      <c r="O23" s="56" t="str">
        <f t="array" ref="O23">IF($G23=0,"",IF(INDEX(itineraryPrograms,numericItinerary(O$3),$J23)="y","X",""))</f>
        <v/>
      </c>
      <c r="P23" s="57" t="str">
        <f t="array" ref="P23">IF($G23=0,"",IF(INDEX(itineraryPrograms,numericItinerary(P$3),$J23)="y","X",""))</f>
        <v/>
      </c>
    </row>
    <row r="24" spans="1:16" ht="12.75" customHeight="1" x14ac:dyDescent="0.2">
      <c r="A24" s="351" t="s">
        <v>417</v>
      </c>
      <c r="B24" s="353" t="str">
        <f>UPPER(hikeIn)</f>
        <v>N</v>
      </c>
      <c r="C24" s="248"/>
      <c r="G24" s="55" t="s">
        <v>545</v>
      </c>
      <c r="H24" s="335">
        <v>129</v>
      </c>
      <c r="I24" s="336">
        <f t="shared" si="0"/>
        <v>0</v>
      </c>
      <c r="J24" s="336">
        <v>44</v>
      </c>
      <c r="K24" s="56" t="str">
        <f t="array" ref="K24">IF($G24=0,"",IF(INDEX(itineraryPrograms,numericItinerary(K$3),$J24)="y","X",""))</f>
        <v/>
      </c>
      <c r="L24" s="56" t="str">
        <f t="array" ref="L24">IF($G24=0,"",IF(INDEX(itineraryPrograms,numericItinerary(L$3),$J24)="y","X",""))</f>
        <v/>
      </c>
      <c r="M24" s="56" t="str">
        <f t="array" ref="M24">IF($G24=0,"",IF(INDEX(itineraryPrograms,numericItinerary(M$3),$J24)="y","X",""))</f>
        <v/>
      </c>
      <c r="N24" s="56" t="str">
        <f t="array" ref="N24">IF($G24=0,"",IF(INDEX(itineraryPrograms,numericItinerary(N$3),$J24)="y","X",""))</f>
        <v/>
      </c>
      <c r="O24" s="56" t="str">
        <f t="array" ref="O24">IF($G24=0,"",IF(INDEX(itineraryPrograms,numericItinerary(O$3),$J24)="y","X",""))</f>
        <v/>
      </c>
      <c r="P24" s="57" t="str">
        <f t="array" ref="P24">IF($G24=0,"",IF(INDEX(itineraryPrograms,numericItinerary(P$3),$J24)="y","X",""))</f>
        <v/>
      </c>
    </row>
    <row r="25" spans="1:16" ht="12.75" customHeight="1" x14ac:dyDescent="0.2">
      <c r="A25" s="351" t="s">
        <v>278</v>
      </c>
      <c r="B25" s="353" t="str">
        <f>UPPER(altitudeMax)</f>
        <v>N</v>
      </c>
      <c r="C25" s="248"/>
      <c r="G25" s="55" t="s">
        <v>542</v>
      </c>
      <c r="H25" s="335">
        <v>126</v>
      </c>
      <c r="I25" s="336">
        <f t="shared" si="0"/>
        <v>1</v>
      </c>
      <c r="J25" s="336">
        <v>30</v>
      </c>
      <c r="K25" s="56" t="str">
        <f t="array" ref="K25">IF($G25=0,"",IF(INDEX(itineraryPrograms,numericItinerary(K$3),$J25)="y","X",""))</f>
        <v/>
      </c>
      <c r="L25" s="56" t="str">
        <f t="array" ref="L25">IF($G25=0,"",IF(INDEX(itineraryPrograms,numericItinerary(L$3),$J25)="y","X",""))</f>
        <v>X</v>
      </c>
      <c r="M25" s="56" t="str">
        <f t="array" ref="M25">IF($G25=0,"",IF(INDEX(itineraryPrograms,numericItinerary(M$3),$J25)="y","X",""))</f>
        <v/>
      </c>
      <c r="N25" s="56" t="str">
        <f t="array" ref="N25">IF($G25=0,"",IF(INDEX(itineraryPrograms,numericItinerary(N$3),$J25)="y","X",""))</f>
        <v/>
      </c>
      <c r="O25" s="56" t="str">
        <f t="array" ref="O25">IF($G25=0,"",IF(INDEX(itineraryPrograms,numericItinerary(O$3),$J25)="y","X",""))</f>
        <v/>
      </c>
      <c r="P25" s="57" t="str">
        <f t="array" ref="P25">IF($G25=0,"",IF(INDEX(itineraryPrograms,numericItinerary(P$3),$J25)="y","X",""))</f>
        <v/>
      </c>
    </row>
    <row r="26" spans="1:16" ht="12.75" customHeight="1" x14ac:dyDescent="0.2">
      <c r="A26" s="351" t="s">
        <v>276</v>
      </c>
      <c r="B26" s="353" t="str">
        <f>UPPER(altitudeChange)</f>
        <v>N</v>
      </c>
      <c r="C26" s="248"/>
      <c r="G26" s="55" t="s">
        <v>522</v>
      </c>
      <c r="H26" s="335">
        <v>121</v>
      </c>
      <c r="I26" s="336">
        <f t="shared" si="0"/>
        <v>1</v>
      </c>
      <c r="J26" s="336">
        <v>33</v>
      </c>
      <c r="K26" s="56" t="str">
        <f t="array" ref="K26">IF($G26=0,"",IF(INDEX(itineraryPrograms,numericItinerary(K$3),$J26)="y","X",""))</f>
        <v/>
      </c>
      <c r="L26" s="56" t="str">
        <f t="array" ref="L26">IF($G26=0,"",IF(INDEX(itineraryPrograms,numericItinerary(L$3),$J26)="y","X",""))</f>
        <v>X</v>
      </c>
      <c r="M26" s="56" t="str">
        <f t="array" ref="M26">IF($G26=0,"",IF(INDEX(itineraryPrograms,numericItinerary(M$3),$J26)="y","X",""))</f>
        <v/>
      </c>
      <c r="N26" s="56" t="str">
        <f t="array" ref="N26">IF($G26=0,"",IF(INDEX(itineraryPrograms,numericItinerary(N$3),$J26)="y","X",""))</f>
        <v/>
      </c>
      <c r="O26" s="56" t="str">
        <f t="array" ref="O26">IF($G26=0,"",IF(INDEX(itineraryPrograms,numericItinerary(O$3),$J26)="y","X",""))</f>
        <v/>
      </c>
      <c r="P26" s="57" t="str">
        <f t="array" ref="P26">IF($G26=0,"",IF(INDEX(itineraryPrograms,numericItinerary(P$3),$J26)="y","X",""))</f>
        <v/>
      </c>
    </row>
    <row r="27" spans="1:16" ht="12.75" customHeight="1" x14ac:dyDescent="0.2">
      <c r="A27" s="351" t="s">
        <v>277</v>
      </c>
      <c r="B27" s="353" t="str">
        <f>UPPER(altitudeDaily)</f>
        <v>Y</v>
      </c>
      <c r="G27" s="55" t="s">
        <v>552</v>
      </c>
      <c r="H27" s="335">
        <v>117</v>
      </c>
      <c r="I27" s="336">
        <f t="shared" si="0"/>
        <v>2</v>
      </c>
      <c r="J27" s="336">
        <v>28</v>
      </c>
      <c r="K27" s="56" t="str">
        <f t="array" ref="K27">IF($G27=0,"",IF(INDEX(itineraryPrograms,numericItinerary(K$3),$J27)="y","X",""))</f>
        <v>X</v>
      </c>
      <c r="L27" s="56" t="str">
        <f t="array" ref="L27">IF($G27=0,"",IF(INDEX(itineraryPrograms,numericItinerary(L$3),$J27)="y","X",""))</f>
        <v/>
      </c>
      <c r="M27" s="56" t="str">
        <f t="array" ref="M27">IF($G27=0,"",IF(INDEX(itineraryPrograms,numericItinerary(M$3),$J27)="y","X",""))</f>
        <v/>
      </c>
      <c r="N27" s="56" t="str">
        <f t="array" ref="N27">IF($G27=0,"",IF(INDEX(itineraryPrograms,numericItinerary(N$3),$J27)="y","X",""))</f>
        <v>X</v>
      </c>
      <c r="O27" s="56" t="str">
        <f t="array" ref="O27">IF($G27=0,"",IF(INDEX(itineraryPrograms,numericItinerary(O$3),$J27)="y","X",""))</f>
        <v/>
      </c>
      <c r="P27" s="57" t="str">
        <f t="array" ref="P27">IF($G27=0,"",IF(INDEX(itineraryPrograms,numericItinerary(P$3),$J27)="y","X",""))</f>
        <v/>
      </c>
    </row>
    <row r="28" spans="1:16" ht="12.75" customHeight="1" thickBot="1" x14ac:dyDescent="0.25">
      <c r="A28" s="352" t="s">
        <v>293</v>
      </c>
      <c r="B28" s="355" t="str">
        <f>UPPER(programsImportant)</f>
        <v>Y</v>
      </c>
      <c r="G28" s="55" t="s">
        <v>498</v>
      </c>
      <c r="H28" s="335">
        <v>111</v>
      </c>
      <c r="I28" s="336">
        <f t="shared" si="0"/>
        <v>2</v>
      </c>
      <c r="J28" s="336">
        <v>6</v>
      </c>
      <c r="K28" s="56" t="str">
        <f t="array" ref="K28">IF($G28=0,"",IF(INDEX(itineraryPrograms,numericItinerary(K$3),$J28)="y","X",""))</f>
        <v/>
      </c>
      <c r="L28" s="56" t="str">
        <f t="array" ref="L28">IF($G28=0,"",IF(INDEX(itineraryPrograms,numericItinerary(L$3),$J28)="y","X",""))</f>
        <v/>
      </c>
      <c r="M28" s="56" t="str">
        <f t="array" ref="M28">IF($G28=0,"",IF(INDEX(itineraryPrograms,numericItinerary(M$3),$J28)="y","X",""))</f>
        <v>X</v>
      </c>
      <c r="N28" s="56" t="str">
        <f t="array" ref="N28">IF($G28=0,"",IF(INDEX(itineraryPrograms,numericItinerary(N$3),$J28)="y","X",""))</f>
        <v/>
      </c>
      <c r="O28" s="56" t="str">
        <f t="array" ref="O28">IF($G28=0,"",IF(INDEX(itineraryPrograms,numericItinerary(O$3),$J28)="y","X",""))</f>
        <v>X</v>
      </c>
      <c r="P28" s="57" t="str">
        <f t="array" ref="P28">IF($G28=0,"",IF(INDEX(itineraryPrograms,numericItinerary(P$3),$J28)="y","X",""))</f>
        <v/>
      </c>
    </row>
    <row r="29" spans="1:16" ht="12.75" customHeight="1" x14ac:dyDescent="0.2">
      <c r="A29" s="254"/>
      <c r="B29" s="247"/>
      <c r="G29" s="55" t="s">
        <v>499</v>
      </c>
      <c r="H29" s="335">
        <v>111</v>
      </c>
      <c r="I29" s="336">
        <f t="shared" si="0"/>
        <v>3</v>
      </c>
      <c r="J29" s="336">
        <v>7</v>
      </c>
      <c r="K29" s="56" t="str">
        <f t="array" ref="K29">IF($G29=0,"",IF(INDEX(itineraryPrograms,numericItinerary(K$3),$J29)="y","X",""))</f>
        <v>X</v>
      </c>
      <c r="L29" s="56" t="str">
        <f t="array" ref="L29">IF($G29=0,"",IF(INDEX(itineraryPrograms,numericItinerary(L$3),$J29)="y","X",""))</f>
        <v/>
      </c>
      <c r="M29" s="56" t="str">
        <f t="array" ref="M29">IF($G29=0,"",IF(INDEX(itineraryPrograms,numericItinerary(M$3),$J29)="y","X",""))</f>
        <v>X</v>
      </c>
      <c r="N29" s="56" t="str">
        <f t="array" ref="N29">IF($G29=0,"",IF(INDEX(itineraryPrograms,numericItinerary(N$3),$J29)="y","X",""))</f>
        <v/>
      </c>
      <c r="O29" s="56" t="str">
        <f t="array" ref="O29">IF($G29=0,"",IF(INDEX(itineraryPrograms,numericItinerary(O$3),$J29)="y","X",""))</f>
        <v>X</v>
      </c>
      <c r="P29" s="57" t="str">
        <f t="array" ref="P29">IF($G29=0,"",IF(INDEX(itineraryPrograms,numericItinerary(P$3),$J29)="y","X",""))</f>
        <v/>
      </c>
    </row>
    <row r="30" spans="1:16" ht="12.75" customHeight="1" x14ac:dyDescent="0.2">
      <c r="G30" s="55" t="s">
        <v>516</v>
      </c>
      <c r="H30" s="335">
        <v>108</v>
      </c>
      <c r="I30" s="336">
        <f t="shared" si="0"/>
        <v>3</v>
      </c>
      <c r="J30" s="336">
        <v>24</v>
      </c>
      <c r="K30" s="56" t="str">
        <f t="array" ref="K30">IF($G30=0,"",IF(INDEX(itineraryPrograms,numericItinerary(K$3),$J30)="y","X",""))</f>
        <v>X</v>
      </c>
      <c r="L30" s="56" t="str">
        <f t="array" ref="L30">IF($G30=0,"",IF(INDEX(itineraryPrograms,numericItinerary(L$3),$J30)="y","X",""))</f>
        <v/>
      </c>
      <c r="M30" s="56" t="str">
        <f t="array" ref="M30">IF($G30=0,"",IF(INDEX(itineraryPrograms,numericItinerary(M$3),$J30)="y","X",""))</f>
        <v>X</v>
      </c>
      <c r="N30" s="56" t="str">
        <f t="array" ref="N30">IF($G30=0,"",IF(INDEX(itineraryPrograms,numericItinerary(N$3),$J30)="y","X",""))</f>
        <v>X</v>
      </c>
      <c r="O30" s="56" t="str">
        <f t="array" ref="O30">IF($G30=0,"",IF(INDEX(itineraryPrograms,numericItinerary(O$3),$J30)="y","X",""))</f>
        <v/>
      </c>
      <c r="P30" s="57" t="str">
        <f t="array" ref="P30">IF($G30=0,"",IF(INDEX(itineraryPrograms,numericItinerary(P$3),$J30)="y","X",""))</f>
        <v/>
      </c>
    </row>
    <row r="31" spans="1:16" ht="12.75" customHeight="1" x14ac:dyDescent="0.2">
      <c r="G31" s="55" t="s">
        <v>497</v>
      </c>
      <c r="H31" s="335">
        <v>108</v>
      </c>
      <c r="I31" s="336"/>
      <c r="J31" s="336">
        <v>5</v>
      </c>
      <c r="K31" s="56"/>
      <c r="L31" s="56"/>
      <c r="M31" s="56"/>
      <c r="N31" s="56"/>
      <c r="O31" s="56"/>
      <c r="P31" s="57"/>
    </row>
    <row r="32" spans="1:16" ht="12.75" customHeight="1" x14ac:dyDescent="0.2">
      <c r="G32" s="55" t="s">
        <v>512</v>
      </c>
      <c r="H32" s="335">
        <v>104</v>
      </c>
      <c r="I32" s="336"/>
      <c r="J32" s="336">
        <v>20</v>
      </c>
      <c r="K32" s="56"/>
      <c r="L32" s="56"/>
      <c r="M32" s="56"/>
      <c r="N32" s="56"/>
      <c r="O32" s="56"/>
      <c r="P32" s="57"/>
    </row>
    <row r="33" spans="7:16" ht="12.75" customHeight="1" x14ac:dyDescent="0.2">
      <c r="G33" s="55" t="s">
        <v>520</v>
      </c>
      <c r="H33" s="335">
        <v>103</v>
      </c>
      <c r="I33" s="336"/>
      <c r="J33" s="336">
        <v>29</v>
      </c>
      <c r="K33" s="56"/>
      <c r="L33" s="56"/>
      <c r="M33" s="56"/>
      <c r="N33" s="56"/>
      <c r="O33" s="56"/>
      <c r="P33" s="57"/>
    </row>
    <row r="34" spans="7:16" ht="12.75" customHeight="1" x14ac:dyDescent="0.2">
      <c r="G34" s="55" t="s">
        <v>527</v>
      </c>
      <c r="H34" s="335">
        <v>101</v>
      </c>
      <c r="I34" s="336"/>
      <c r="J34" s="336">
        <v>39</v>
      </c>
      <c r="K34" s="56"/>
      <c r="L34" s="56"/>
      <c r="M34" s="56"/>
      <c r="N34" s="56"/>
      <c r="O34" s="56"/>
      <c r="P34" s="57"/>
    </row>
    <row r="35" spans="7:16" ht="12.75" customHeight="1" x14ac:dyDescent="0.2">
      <c r="G35" s="55" t="s">
        <v>531</v>
      </c>
      <c r="H35" s="335">
        <v>101</v>
      </c>
      <c r="I35" s="336"/>
      <c r="J35" s="336">
        <v>45</v>
      </c>
      <c r="K35" s="56"/>
      <c r="L35" s="56"/>
      <c r="M35" s="56"/>
      <c r="N35" s="56"/>
      <c r="O35" s="56"/>
      <c r="P35" s="57"/>
    </row>
    <row r="36" spans="7:16" ht="12.75" customHeight="1" x14ac:dyDescent="0.2">
      <c r="G36" s="55" t="s">
        <v>519</v>
      </c>
      <c r="H36" s="335">
        <v>100</v>
      </c>
      <c r="I36" s="336"/>
      <c r="J36" s="336">
        <v>27</v>
      </c>
      <c r="K36" s="56"/>
      <c r="L36" s="56"/>
      <c r="M36" s="56"/>
      <c r="N36" s="56"/>
      <c r="O36" s="56"/>
      <c r="P36" s="57"/>
    </row>
    <row r="37" spans="7:16" ht="12.75" customHeight="1" x14ac:dyDescent="0.2">
      <c r="G37" s="55" t="s">
        <v>510</v>
      </c>
      <c r="H37" s="335">
        <v>97</v>
      </c>
      <c r="I37" s="336"/>
      <c r="J37" s="336">
        <v>18</v>
      </c>
      <c r="K37" s="56"/>
      <c r="L37" s="56"/>
      <c r="M37" s="56"/>
      <c r="N37" s="56"/>
      <c r="O37" s="56"/>
      <c r="P37" s="57"/>
    </row>
    <row r="38" spans="7:16" ht="12.75" customHeight="1" x14ac:dyDescent="0.2">
      <c r="G38" s="55" t="s">
        <v>518</v>
      </c>
      <c r="H38" s="335">
        <v>97</v>
      </c>
      <c r="I38" s="336"/>
      <c r="J38" s="336">
        <v>26</v>
      </c>
      <c r="K38" s="56"/>
      <c r="L38" s="56"/>
      <c r="M38" s="56"/>
      <c r="N38" s="56"/>
      <c r="O38" s="56"/>
      <c r="P38" s="57"/>
    </row>
    <row r="39" spans="7:16" ht="12.75" customHeight="1" x14ac:dyDescent="0.2">
      <c r="G39" s="55" t="s">
        <v>532</v>
      </c>
      <c r="H39" s="335">
        <v>91</v>
      </c>
      <c r="I39" s="336">
        <f t="shared" si="0"/>
        <v>1</v>
      </c>
      <c r="J39" s="336">
        <v>46</v>
      </c>
      <c r="K39" s="56" t="str">
        <f t="array" ref="K39">IF($G39=0,"",IF(INDEX(itineraryPrograms,numericItinerary(K$3),$J39)="y","X",""))</f>
        <v/>
      </c>
      <c r="L39" s="56" t="str">
        <f t="array" ref="L39">IF($G39=0,"",IF(INDEX(itineraryPrograms,numericItinerary(L$3),$J39)="y","X",""))</f>
        <v>X</v>
      </c>
      <c r="M39" s="56" t="str">
        <f t="array" ref="M39">IF($G39=0,"",IF(INDEX(itineraryPrograms,numericItinerary(M$3),$J39)="y","X",""))</f>
        <v/>
      </c>
      <c r="N39" s="56" t="str">
        <f t="array" ref="N39">IF($G39=0,"",IF(INDEX(itineraryPrograms,numericItinerary(N$3),$J39)="y","X",""))</f>
        <v/>
      </c>
      <c r="O39" s="56" t="str">
        <f t="array" ref="O39">IF($G39=0,"",IF(INDEX(itineraryPrograms,numericItinerary(O$3),$J39)="y","X",""))</f>
        <v/>
      </c>
      <c r="P39" s="57" t="str">
        <f t="array" ref="P39">IF($G39=0,"",IF(INDEX(itineraryPrograms,numericItinerary(P$3),$J39)="y","X",""))</f>
        <v/>
      </c>
    </row>
    <row r="40" spans="7:16" ht="12.75" customHeight="1" x14ac:dyDescent="0.2">
      <c r="G40" s="55" t="s">
        <v>539</v>
      </c>
      <c r="H40" s="335">
        <v>89</v>
      </c>
      <c r="I40" s="336">
        <f t="shared" si="0"/>
        <v>5</v>
      </c>
      <c r="J40" s="336">
        <v>53</v>
      </c>
      <c r="K40" s="56" t="str">
        <f t="array" ref="K40">IF($G40=0,"",IF(INDEX(itineraryPrograms,numericItinerary(K$3),$J40)="y","X",""))</f>
        <v/>
      </c>
      <c r="L40" s="56" t="str">
        <f t="array" ref="L40">IF($G40=0,"",IF(INDEX(itineraryPrograms,numericItinerary(L$3),$J40)="y","X",""))</f>
        <v>X</v>
      </c>
      <c r="M40" s="56" t="str">
        <f t="array" ref="M40">IF($G40=0,"",IF(INDEX(itineraryPrograms,numericItinerary(M$3),$J40)="y","X",""))</f>
        <v>X</v>
      </c>
      <c r="N40" s="56" t="str">
        <f t="array" ref="N40">IF($G40=0,"",IF(INDEX(itineraryPrograms,numericItinerary(N$3),$J40)="y","X",""))</f>
        <v>X</v>
      </c>
      <c r="O40" s="56" t="str">
        <f t="array" ref="O40">IF($G40=0,"",IF(INDEX(itineraryPrograms,numericItinerary(O$3),$J40)="y","X",""))</f>
        <v>X</v>
      </c>
      <c r="P40" s="57" t="str">
        <f t="array" ref="P40">IF($G40=0,"",IF(INDEX(itineraryPrograms,numericItinerary(P$3),$J40)="y","X",""))</f>
        <v>X</v>
      </c>
    </row>
    <row r="41" spans="7:16" ht="12.75" customHeight="1" x14ac:dyDescent="0.2">
      <c r="G41" s="55" t="s">
        <v>501</v>
      </c>
      <c r="H41" s="335">
        <v>87</v>
      </c>
      <c r="I41" s="336">
        <f t="shared" si="0"/>
        <v>3</v>
      </c>
      <c r="J41" s="336">
        <v>9</v>
      </c>
      <c r="K41" s="56" t="str">
        <f t="array" ref="K41">IF($G41=0,"",IF(INDEX(itineraryPrograms,numericItinerary(K$3),$J41)="y","X",""))</f>
        <v/>
      </c>
      <c r="L41" s="56" t="str">
        <f t="array" ref="L41">IF($G41=0,"",IF(INDEX(itineraryPrograms,numericItinerary(L$3),$J41)="y","X",""))</f>
        <v>X</v>
      </c>
      <c r="M41" s="56" t="str">
        <f t="array" ref="M41">IF($G41=0,"",IF(INDEX(itineraryPrograms,numericItinerary(M$3),$J41)="y","X",""))</f>
        <v/>
      </c>
      <c r="N41" s="56" t="str">
        <f t="array" ref="N41">IF($G41=0,"",IF(INDEX(itineraryPrograms,numericItinerary(N$3),$J41)="y","X",""))</f>
        <v/>
      </c>
      <c r="O41" s="56" t="str">
        <f t="array" ref="O41">IF($G41=0,"",IF(INDEX(itineraryPrograms,numericItinerary(O$3),$J41)="y","X",""))</f>
        <v>X</v>
      </c>
      <c r="P41" s="57" t="str">
        <f t="array" ref="P41">IF($G41=0,"",IF(INDEX(itineraryPrograms,numericItinerary(P$3),$J41)="y","X",""))</f>
        <v>X</v>
      </c>
    </row>
    <row r="42" spans="7:16" ht="12.75" customHeight="1" x14ac:dyDescent="0.2">
      <c r="G42" s="55" t="s">
        <v>514</v>
      </c>
      <c r="H42" s="335">
        <v>86</v>
      </c>
      <c r="I42" s="336">
        <f t="shared" si="0"/>
        <v>2</v>
      </c>
      <c r="J42" s="336">
        <v>22</v>
      </c>
      <c r="K42" s="56" t="str">
        <f t="array" ref="K42">IF($G42=0,"",IF(INDEX(itineraryPrograms,numericItinerary(K$3),$J42)="y","X",""))</f>
        <v>X</v>
      </c>
      <c r="L42" s="56" t="str">
        <f t="array" ref="L42">IF($G42=0,"",IF(INDEX(itineraryPrograms,numericItinerary(L$3),$J42)="y","X",""))</f>
        <v/>
      </c>
      <c r="M42" s="56" t="str">
        <f t="array" ref="M42">IF($G42=0,"",IF(INDEX(itineraryPrograms,numericItinerary(M$3),$J42)="y","X",""))</f>
        <v/>
      </c>
      <c r="N42" s="56" t="str">
        <f t="array" ref="N42">IF($G42=0,"",IF(INDEX(itineraryPrograms,numericItinerary(N$3),$J42)="y","X",""))</f>
        <v>X</v>
      </c>
      <c r="O42" s="56" t="str">
        <f t="array" ref="O42">IF($G42=0,"",IF(INDEX(itineraryPrograms,numericItinerary(O$3),$J42)="y","X",""))</f>
        <v/>
      </c>
      <c r="P42" s="57" t="str">
        <f t="array" ref="P42">IF($G42=0,"",IF(INDEX(itineraryPrograms,numericItinerary(P$3),$J42)="y","X",""))</f>
        <v/>
      </c>
    </row>
    <row r="43" spans="7:16" ht="12.75" customHeight="1" x14ac:dyDescent="0.2">
      <c r="G43" s="55" t="s">
        <v>500</v>
      </c>
      <c r="H43" s="335">
        <v>84</v>
      </c>
      <c r="I43" s="336">
        <f t="shared" si="0"/>
        <v>0</v>
      </c>
      <c r="J43" s="336">
        <v>8</v>
      </c>
      <c r="K43" s="56" t="str">
        <f t="array" ref="K43">IF($G43=0,"",IF(INDEX(itineraryPrograms,numericItinerary(K$3),$J43)="y","X",""))</f>
        <v/>
      </c>
      <c r="L43" s="56" t="str">
        <f t="array" ref="L43">IF($G43=0,"",IF(INDEX(itineraryPrograms,numericItinerary(L$3),$J43)="y","X",""))</f>
        <v/>
      </c>
      <c r="M43" s="56" t="str">
        <f t="array" ref="M43">IF($G43=0,"",IF(INDEX(itineraryPrograms,numericItinerary(M$3),$J43)="y","X",""))</f>
        <v/>
      </c>
      <c r="N43" s="56" t="str">
        <f t="array" ref="N43">IF($G43=0,"",IF(INDEX(itineraryPrograms,numericItinerary(N$3),$J43)="y","X",""))</f>
        <v/>
      </c>
      <c r="O43" s="56" t="str">
        <f t="array" ref="O43">IF($G43=0,"",IF(INDEX(itineraryPrograms,numericItinerary(O$3),$J43)="y","X",""))</f>
        <v/>
      </c>
      <c r="P43" s="57" t="str">
        <f t="array" ref="P43">IF($G43=0,"",IF(INDEX(itineraryPrograms,numericItinerary(P$3),$J43)="y","X",""))</f>
        <v/>
      </c>
    </row>
    <row r="44" spans="7:16" ht="12.75" customHeight="1" x14ac:dyDescent="0.2">
      <c r="G44" s="55" t="s">
        <v>508</v>
      </c>
      <c r="H44" s="335">
        <v>84</v>
      </c>
      <c r="I44" s="336"/>
      <c r="J44" s="336">
        <v>16</v>
      </c>
      <c r="K44" s="56" t="str">
        <f t="array" ref="K44">IF($G44=0,"",IF(INDEX(itineraryPrograms,numericItinerary(K$3),$J44)="y","X",""))</f>
        <v/>
      </c>
      <c r="L44" s="56" t="str">
        <f t="array" ref="L44">IF($G44=0,"",IF(INDEX(itineraryPrograms,numericItinerary(L$3),$J44)="y","X",""))</f>
        <v/>
      </c>
      <c r="M44" s="56" t="str">
        <f t="array" ref="M44">IF($G44=0,"",IF(INDEX(itineraryPrograms,numericItinerary(M$3),$J44)="y","X",""))</f>
        <v/>
      </c>
      <c r="N44" s="56" t="str">
        <f t="array" ref="N44">IF($G44=0,"",IF(INDEX(itineraryPrograms,numericItinerary(N$3),$J44)="y","X",""))</f>
        <v/>
      </c>
      <c r="O44" s="56" t="str">
        <f t="array" ref="O44">IF($G44=0,"",IF(INDEX(itineraryPrograms,numericItinerary(O$3),$J44)="y","X",""))</f>
        <v/>
      </c>
      <c r="P44" s="57" t="str">
        <f t="array" ref="P44">IF($G44=0,"",IF(INDEX(itineraryPrograms,numericItinerary(P$3),$J44)="y","X",""))</f>
        <v>X</v>
      </c>
    </row>
    <row r="45" spans="7:16" ht="12.75" customHeight="1" x14ac:dyDescent="0.2">
      <c r="G45" s="55" t="s">
        <v>507</v>
      </c>
      <c r="H45" s="335">
        <v>82</v>
      </c>
      <c r="I45" s="336"/>
      <c r="J45" s="336">
        <v>15</v>
      </c>
      <c r="K45" s="56" t="str">
        <f t="array" ref="K45">IF($G45=0,"",IF(INDEX(itineraryPrograms,numericItinerary(K$3),$J45)="y","X",""))</f>
        <v>X</v>
      </c>
      <c r="L45" s="56" t="str">
        <f t="array" ref="L45">IF($G45=0,"",IF(INDEX(itineraryPrograms,numericItinerary(L$3),$J45)="y","X",""))</f>
        <v/>
      </c>
      <c r="M45" s="56" t="str">
        <f t="array" ref="M45">IF($G45=0,"",IF(INDEX(itineraryPrograms,numericItinerary(M$3),$J45)="y","X",""))</f>
        <v/>
      </c>
      <c r="N45" s="56" t="str">
        <f t="array" ref="N45">IF($G45=0,"",IF(INDEX(itineraryPrograms,numericItinerary(N$3),$J45)="y","X",""))</f>
        <v>X</v>
      </c>
      <c r="O45" s="56" t="str">
        <f t="array" ref="O45">IF($G45=0,"",IF(INDEX(itineraryPrograms,numericItinerary(O$3),$J45)="y","X",""))</f>
        <v/>
      </c>
      <c r="P45" s="57" t="str">
        <f t="array" ref="P45">IF($G45=0,"",IF(INDEX(itineraryPrograms,numericItinerary(P$3),$J45)="y","X",""))</f>
        <v>X</v>
      </c>
    </row>
    <row r="46" spans="7:16" ht="12.75" customHeight="1" x14ac:dyDescent="0.2">
      <c r="G46" s="55" t="s">
        <v>495</v>
      </c>
      <c r="H46" s="335">
        <v>76</v>
      </c>
      <c r="I46" s="336"/>
      <c r="J46" s="336">
        <v>3</v>
      </c>
      <c r="K46" s="56" t="str">
        <f t="array" ref="K46">IF($G46=0,"",IF(INDEX(itineraryPrograms,numericItinerary(K$3),$J46)="y","X",""))</f>
        <v/>
      </c>
      <c r="L46" s="56" t="str">
        <f t="array" ref="L46">IF($G46=0,"",IF(INDEX(itineraryPrograms,numericItinerary(L$3),$J46)="y","X",""))</f>
        <v/>
      </c>
      <c r="M46" s="56" t="str">
        <f t="array" ref="M46">IF($G46=0,"",IF(INDEX(itineraryPrograms,numericItinerary(M$3),$J46)="y","X",""))</f>
        <v/>
      </c>
      <c r="N46" s="56" t="str">
        <f t="array" ref="N46">IF($G46=0,"",IF(INDEX(itineraryPrograms,numericItinerary(N$3),$J46)="y","X",""))</f>
        <v/>
      </c>
      <c r="O46" s="56" t="str">
        <f t="array" ref="O46">IF($G46=0,"",IF(INDEX(itineraryPrograms,numericItinerary(O$3),$J46)="y","X",""))</f>
        <v/>
      </c>
      <c r="P46" s="57" t="str">
        <f t="array" ref="P46">IF($G46=0,"",IF(INDEX(itineraryPrograms,numericItinerary(P$3),$J46)="y","X",""))</f>
        <v/>
      </c>
    </row>
    <row r="47" spans="7:16" ht="12.75" customHeight="1" x14ac:dyDescent="0.2">
      <c r="G47" s="55" t="s">
        <v>506</v>
      </c>
      <c r="H47" s="335">
        <v>76</v>
      </c>
      <c r="I47" s="336"/>
      <c r="J47" s="336">
        <v>14</v>
      </c>
      <c r="K47" s="56" t="str">
        <f t="array" ref="K47">IF($G47=0,"",IF(INDEX(itineraryPrograms,numericItinerary(K$3),$J47)="y","X",""))</f>
        <v/>
      </c>
      <c r="L47" s="56" t="str">
        <f t="array" ref="L47">IF($G47=0,"",IF(INDEX(itineraryPrograms,numericItinerary(L$3),$J47)="y","X",""))</f>
        <v/>
      </c>
      <c r="M47" s="56" t="str">
        <f t="array" ref="M47">IF($G47=0,"",IF(INDEX(itineraryPrograms,numericItinerary(M$3),$J47)="y","X",""))</f>
        <v/>
      </c>
      <c r="N47" s="56" t="str">
        <f t="array" ref="N47">IF($G47=0,"",IF(INDEX(itineraryPrograms,numericItinerary(N$3),$J47)="y","X",""))</f>
        <v/>
      </c>
      <c r="O47" s="56" t="str">
        <f t="array" ref="O47">IF($G47=0,"",IF(INDEX(itineraryPrograms,numericItinerary(O$3),$J47)="y","X",""))</f>
        <v>X</v>
      </c>
      <c r="P47" s="57" t="str">
        <f t="array" ref="P47">IF($G47=0,"",IF(INDEX(itineraryPrograms,numericItinerary(P$3),$J47)="y","X",""))</f>
        <v>X</v>
      </c>
    </row>
    <row r="48" spans="7:16" ht="12.75" customHeight="1" x14ac:dyDescent="0.2">
      <c r="G48" s="55" t="s">
        <v>513</v>
      </c>
      <c r="H48" s="335">
        <v>76</v>
      </c>
      <c r="I48" s="336"/>
      <c r="J48" s="336">
        <v>21</v>
      </c>
      <c r="K48" s="56" t="str">
        <f t="array" ref="K48">IF($G48=0,"",IF(INDEX(itineraryPrograms,numericItinerary(K$3),$J48)="y","X",""))</f>
        <v>X</v>
      </c>
      <c r="L48" s="56" t="str">
        <f t="array" ref="L48">IF($G48=0,"",IF(INDEX(itineraryPrograms,numericItinerary(L$3),$J48)="y","X",""))</f>
        <v/>
      </c>
      <c r="M48" s="56" t="str">
        <f t="array" ref="M48">IF($G48=0,"",IF(INDEX(itineraryPrograms,numericItinerary(M$3),$J48)="y","X",""))</f>
        <v/>
      </c>
      <c r="N48" s="56" t="str">
        <f t="array" ref="N48">IF($G48=0,"",IF(INDEX(itineraryPrograms,numericItinerary(N$3),$J48)="y","X",""))</f>
        <v>X</v>
      </c>
      <c r="O48" s="56" t="str">
        <f t="array" ref="O48">IF($G48=0,"",IF(INDEX(itineraryPrograms,numericItinerary(O$3),$J48)="y","X",""))</f>
        <v/>
      </c>
      <c r="P48" s="57" t="str">
        <f t="array" ref="P48">IF($G48=0,"",IF(INDEX(itineraryPrograms,numericItinerary(P$3),$J48)="y","X",""))</f>
        <v/>
      </c>
    </row>
    <row r="49" spans="7:16" ht="12.75" customHeight="1" x14ac:dyDescent="0.2">
      <c r="G49" s="55" t="s">
        <v>505</v>
      </c>
      <c r="H49" s="335">
        <v>74</v>
      </c>
      <c r="I49" s="336"/>
      <c r="J49" s="336">
        <v>13</v>
      </c>
      <c r="K49" s="56" t="str">
        <f t="array" ref="K49">IF($G49=0,"",IF(INDEX(itineraryPrograms,numericItinerary(K$3),$J49)="y","X",""))</f>
        <v/>
      </c>
      <c r="L49" s="56" t="str">
        <f t="array" ref="L49">IF($G49=0,"",IF(INDEX(itineraryPrograms,numericItinerary(L$3),$J49)="y","X",""))</f>
        <v>X</v>
      </c>
      <c r="M49" s="56" t="str">
        <f t="array" ref="M49">IF($G49=0,"",IF(INDEX(itineraryPrograms,numericItinerary(M$3),$J49)="y","X",""))</f>
        <v/>
      </c>
      <c r="N49" s="56" t="str">
        <f t="array" ref="N49">IF($G49=0,"",IF(INDEX(itineraryPrograms,numericItinerary(N$3),$J49)="y","X",""))</f>
        <v/>
      </c>
      <c r="O49" s="56" t="str">
        <f t="array" ref="O49">IF($G49=0,"",IF(INDEX(itineraryPrograms,numericItinerary(O$3),$J49)="y","X",""))</f>
        <v>X</v>
      </c>
      <c r="P49" s="57" t="str">
        <f t="array" ref="P49">IF($G49=0,"",IF(INDEX(itineraryPrograms,numericItinerary(P$3),$J49)="y","X",""))</f>
        <v>X</v>
      </c>
    </row>
    <row r="50" spans="7:16" ht="12.75" customHeight="1" x14ac:dyDescent="0.2">
      <c r="G50" s="55" t="s">
        <v>504</v>
      </c>
      <c r="H50" s="335">
        <v>73</v>
      </c>
      <c r="I50" s="336"/>
      <c r="J50" s="336">
        <v>12</v>
      </c>
      <c r="K50" s="56"/>
      <c r="L50" s="56"/>
      <c r="M50" s="56"/>
      <c r="N50" s="56"/>
      <c r="O50" s="56"/>
      <c r="P50" s="57"/>
    </row>
    <row r="51" spans="7:16" ht="12.75" customHeight="1" x14ac:dyDescent="0.2">
      <c r="G51" s="55" t="s">
        <v>503</v>
      </c>
      <c r="H51" s="335">
        <v>73</v>
      </c>
      <c r="I51" s="336"/>
      <c r="J51" s="336">
        <v>11</v>
      </c>
      <c r="K51" s="56"/>
      <c r="L51" s="56"/>
      <c r="M51" s="56"/>
      <c r="N51" s="56"/>
      <c r="O51" s="56"/>
      <c r="P51" s="57"/>
    </row>
    <row r="52" spans="7:16" ht="12.75" customHeight="1" x14ac:dyDescent="0.2">
      <c r="G52" s="55" t="s">
        <v>509</v>
      </c>
      <c r="H52" s="335">
        <v>71</v>
      </c>
      <c r="I52" s="336"/>
      <c r="J52" s="336">
        <v>17</v>
      </c>
      <c r="K52" s="56" t="str">
        <f t="array" ref="K52">IF($G52=0,"",IF(INDEX(itineraryPrograms,numericItinerary(K$3),$J52)="y","X",""))</f>
        <v>X</v>
      </c>
      <c r="L52" s="56" t="str">
        <f t="array" ref="L52">IF($G52=0,"",IF(INDEX(itineraryPrograms,numericItinerary(L$3),$J52)="y","X",""))</f>
        <v/>
      </c>
      <c r="M52" s="56" t="str">
        <f t="array" ref="M52">IF($G52=0,"",IF(INDEX(itineraryPrograms,numericItinerary(M$3),$J52)="y","X",""))</f>
        <v>X</v>
      </c>
      <c r="N52" s="56" t="str">
        <f t="array" ref="N52">IF($G52=0,"",IF(INDEX(itineraryPrograms,numericItinerary(N$3),$J52)="y","X",""))</f>
        <v/>
      </c>
      <c r="O52" s="56" t="str">
        <f t="array" ref="O52">IF($G52=0,"",IF(INDEX(itineraryPrograms,numericItinerary(O$3),$J52)="y","X",""))</f>
        <v>X</v>
      </c>
      <c r="P52" s="57" t="str">
        <f t="array" ref="P52">IF($G52=0,"",IF(INDEX(itineraryPrograms,numericItinerary(P$3),$J52)="y","X",""))</f>
        <v>X</v>
      </c>
    </row>
    <row r="53" spans="7:16" ht="12.75" customHeight="1" x14ac:dyDescent="0.2">
      <c r="G53" s="55" t="s">
        <v>515</v>
      </c>
      <c r="H53" s="335">
        <v>69</v>
      </c>
      <c r="I53" s="336"/>
      <c r="J53" s="336">
        <v>23</v>
      </c>
      <c r="K53" s="56" t="str">
        <f t="array" ref="K53">IF($G53=0,"",IF(INDEX(itineraryPrograms,numericItinerary(K$3),$J53)="y","X",""))</f>
        <v/>
      </c>
      <c r="L53" s="56" t="str">
        <f t="array" ref="L53">IF($G53=0,"",IF(INDEX(itineraryPrograms,numericItinerary(L$3),$J53)="y","X",""))</f>
        <v/>
      </c>
      <c r="M53" s="56" t="str">
        <f t="array" ref="M53">IF($G53=0,"",IF(INDEX(itineraryPrograms,numericItinerary(M$3),$J53)="y","X",""))</f>
        <v/>
      </c>
      <c r="N53" s="56" t="str">
        <f t="array" ref="N53">IF($G53=0,"",IF(INDEX(itineraryPrograms,numericItinerary(N$3),$J53)="y","X",""))</f>
        <v/>
      </c>
      <c r="O53" s="56" t="str">
        <f t="array" ref="O53">IF($G53=0,"",IF(INDEX(itineraryPrograms,numericItinerary(O$3),$J53)="y","X",""))</f>
        <v/>
      </c>
      <c r="P53" s="57" t="str">
        <f t="array" ref="P53">IF($G53=0,"",IF(INDEX(itineraryPrograms,numericItinerary(P$3),$J53)="y","X",""))</f>
        <v/>
      </c>
    </row>
    <row r="54" spans="7:16" ht="12.75" customHeight="1" x14ac:dyDescent="0.2">
      <c r="G54" s="55" t="s">
        <v>511</v>
      </c>
      <c r="H54" s="335">
        <v>62</v>
      </c>
      <c r="I54" s="336"/>
      <c r="J54" s="336">
        <v>19</v>
      </c>
      <c r="K54" s="56" t="str">
        <f t="array" ref="K54">IF($G54=0,"",IF(INDEX(itineraryPrograms,numericItinerary(K$3),$J54)="y","X",""))</f>
        <v/>
      </c>
      <c r="L54" s="56" t="str">
        <f t="array" ref="L54">IF($G54=0,"",IF(INDEX(itineraryPrograms,numericItinerary(L$3),$J54)="y","X",""))</f>
        <v/>
      </c>
      <c r="M54" s="56" t="str">
        <f t="array" ref="M54">IF($G54=0,"",IF(INDEX(itineraryPrograms,numericItinerary(M$3),$J54)="y","X",""))</f>
        <v>X</v>
      </c>
      <c r="N54" s="56" t="str">
        <f t="array" ref="N54">IF($G54=0,"",IF(INDEX(itineraryPrograms,numericItinerary(N$3),$J54)="y","X",""))</f>
        <v>X</v>
      </c>
      <c r="O54" s="56" t="str">
        <f t="array" ref="O54">IF($G54=0,"",IF(INDEX(itineraryPrograms,numericItinerary(O$3),$J54)="y","X",""))</f>
        <v>X</v>
      </c>
      <c r="P54" s="57" t="str">
        <f t="array" ref="P54">IF($G54=0,"",IF(INDEX(itineraryPrograms,numericItinerary(P$3),$J54)="y","X",""))</f>
        <v>X</v>
      </c>
    </row>
    <row r="55" spans="7:16" ht="12.75" customHeight="1" x14ac:dyDescent="0.2">
      <c r="G55" s="55" t="s">
        <v>502</v>
      </c>
      <c r="H55" s="335">
        <v>61</v>
      </c>
      <c r="I55" s="336"/>
      <c r="J55" s="336">
        <v>10</v>
      </c>
      <c r="K55" s="56" t="str">
        <f t="array" ref="K55">IF($G55=0,"",IF(INDEX(itineraryPrograms,numericItinerary(K$3),$J55)="y","X",""))</f>
        <v/>
      </c>
      <c r="L55" s="56" t="str">
        <f t="array" ref="L55">IF($G55=0,"",IF(INDEX(itineraryPrograms,numericItinerary(L$3),$J55)="y","X",""))</f>
        <v/>
      </c>
      <c r="M55" s="56" t="str">
        <f t="array" ref="M55">IF($G55=0,"",IF(INDEX(itineraryPrograms,numericItinerary(M$3),$J55)="y","X",""))</f>
        <v/>
      </c>
      <c r="N55" s="56" t="str">
        <f t="array" ref="N55">IF($G55=0,"",IF(INDEX(itineraryPrograms,numericItinerary(N$3),$J55)="y","X",""))</f>
        <v/>
      </c>
      <c r="O55" s="56" t="str">
        <f t="array" ref="O55">IF($G55=0,"",IF(INDEX(itineraryPrograms,numericItinerary(O$3),$J55)="y","X",""))</f>
        <v/>
      </c>
      <c r="P55" s="57" t="str">
        <f t="array" ref="P55">IF($G55=0,"",IF(INDEX(itineraryPrograms,numericItinerary(P$3),$J55)="y","X",""))</f>
        <v/>
      </c>
    </row>
    <row r="56" spans="7:16" ht="12.75" customHeight="1" x14ac:dyDescent="0.2">
      <c r="G56" s="55" t="s">
        <v>541</v>
      </c>
      <c r="H56" s="335">
        <v>61</v>
      </c>
      <c r="I56" s="336">
        <f>COUNTIF(K56:P56,"X")</f>
        <v>3</v>
      </c>
      <c r="J56" s="336">
        <v>32</v>
      </c>
      <c r="K56" s="56" t="str">
        <f t="array" ref="K56">IF($G56=0,"",IF(INDEX(itineraryPrograms,numericItinerary(K$3),$J56)="y","X",""))</f>
        <v/>
      </c>
      <c r="L56" s="56" t="str">
        <f t="array" ref="L56">IF($G56=0,"",IF(INDEX(itineraryPrograms,numericItinerary(L$3),$J56)="y","X",""))</f>
        <v>X</v>
      </c>
      <c r="M56" s="56" t="str">
        <f t="array" ref="M56">IF($G56=0,"",IF(INDEX(itineraryPrograms,numericItinerary(M$3),$J56)="y","X",""))</f>
        <v/>
      </c>
      <c r="N56" s="56" t="str">
        <f t="array" ref="N56">IF($G56=0,"",IF(INDEX(itineraryPrograms,numericItinerary(N$3),$J56)="y","X",""))</f>
        <v/>
      </c>
      <c r="O56" s="56" t="str">
        <f t="array" ref="O56">IF($G56=0,"",IF(INDEX(itineraryPrograms,numericItinerary(O$3),$J56)="y","X",""))</f>
        <v>X</v>
      </c>
      <c r="P56" s="57" t="str">
        <f t="array" ref="P56">IF($G56=0,"",IF(INDEX(itineraryPrograms,numericItinerary(P$3),$J56)="y","X",""))</f>
        <v>X</v>
      </c>
    </row>
    <row r="57" spans="7:16" ht="12.75" customHeight="1" thickBot="1" x14ac:dyDescent="0.25">
      <c r="G57" s="55" t="s">
        <v>537</v>
      </c>
      <c r="H57" s="335">
        <v>61</v>
      </c>
      <c r="I57" s="336">
        <f>COUNTIF(K57:P57,"X")</f>
        <v>1</v>
      </c>
      <c r="J57" s="336">
        <v>51</v>
      </c>
      <c r="K57" s="56" t="str">
        <f t="array" ref="K57">IF($G57=0,"",IF(INDEX(itineraryPrograms,numericItinerary(K$3),$J57)="y","X",""))</f>
        <v/>
      </c>
      <c r="L57" s="56" t="str">
        <f t="array" ref="L57">IF($G57=0,"",IF(INDEX(itineraryPrograms,numericItinerary(L$3),$J57)="y","X",""))</f>
        <v/>
      </c>
      <c r="M57" s="56" t="str">
        <f t="array" ref="M57">IF($G57=0,"",IF(INDEX(itineraryPrograms,numericItinerary(M$3),$J57)="y","X",""))</f>
        <v>X</v>
      </c>
      <c r="N57" s="56" t="str">
        <f t="array" ref="N57">IF($G57=0,"",IF(INDEX(itineraryPrograms,numericItinerary(N$3),$J57)="y","X",""))</f>
        <v/>
      </c>
      <c r="O57" s="56" t="str">
        <f t="array" ref="O57">IF($G57=0,"",IF(INDEX(itineraryPrograms,numericItinerary(O$3),$J57)="y","X",""))</f>
        <v/>
      </c>
      <c r="P57" s="57" t="str">
        <f t="array" ref="P57">IF($G57=0,"",IF(INDEX(itineraryPrograms,numericItinerary(P$3),$J57)="y","X",""))</f>
        <v/>
      </c>
    </row>
    <row r="58" spans="7:16" ht="12.75" customHeight="1" x14ac:dyDescent="0.2">
      <c r="G58" s="1099"/>
      <c r="H58" s="1100">
        <v>93</v>
      </c>
      <c r="I58" s="1101"/>
      <c r="J58" s="1101">
        <v>49</v>
      </c>
      <c r="K58" s="1102">
        <f t="shared" ref="K58:P58" si="1">COUNTIF(K3:K56,"X")</f>
        <v>14</v>
      </c>
      <c r="L58" s="1102">
        <f t="shared" si="1"/>
        <v>13</v>
      </c>
      <c r="M58" s="1102">
        <f t="shared" si="1"/>
        <v>12</v>
      </c>
      <c r="N58" s="1102">
        <f t="shared" si="1"/>
        <v>13</v>
      </c>
      <c r="O58" s="1102">
        <f t="shared" si="1"/>
        <v>13</v>
      </c>
      <c r="P58" s="1103">
        <f t="shared" si="1"/>
        <v>13</v>
      </c>
    </row>
    <row r="59" spans="7:16" ht="12.75" customHeight="1" thickBot="1" x14ac:dyDescent="0.25">
      <c r="G59" s="1104"/>
      <c r="H59" s="1105">
        <v>0</v>
      </c>
      <c r="I59" s="1106"/>
      <c r="J59" s="1106">
        <v>50</v>
      </c>
      <c r="K59" s="1107" t="str">
        <f t="shared" ref="K59:P59" si="2">K3</f>
        <v>9-11</v>
      </c>
      <c r="L59" s="1107" t="str">
        <f t="shared" si="2"/>
        <v>9-12</v>
      </c>
      <c r="M59" s="1107" t="str">
        <f t="shared" si="2"/>
        <v>9-6</v>
      </c>
      <c r="N59" s="1107" t="str">
        <f t="shared" si="2"/>
        <v>9-10</v>
      </c>
      <c r="O59" s="1107" t="str">
        <f t="shared" si="2"/>
        <v>9-8</v>
      </c>
      <c r="P59" s="1108" t="str">
        <f t="shared" si="2"/>
        <v>9-4</v>
      </c>
    </row>
    <row r="60" spans="7:16" ht="12.75" customHeight="1" x14ac:dyDescent="0.2">
      <c r="H60" s="623">
        <f>MIN(H4:H57)</f>
        <v>61</v>
      </c>
      <c r="I60" s="624" t="s">
        <v>443</v>
      </c>
    </row>
    <row r="61" spans="7:16" x14ac:dyDescent="0.2">
      <c r="H61" s="623">
        <f>MAX(H4:H57)</f>
        <v>225</v>
      </c>
      <c r="I61" s="624" t="s">
        <v>444</v>
      </c>
    </row>
    <row r="64" spans="7:16" ht="9.9499999999999993" customHeight="1" x14ac:dyDescent="0.2"/>
  </sheetData>
  <sheetProtection sheet="1" objects="1" scenarios="1" selectLockedCells="1"/>
  <mergeCells count="7">
    <mergeCell ref="E15:F15"/>
    <mergeCell ref="K2:P2"/>
    <mergeCell ref="A1:P1"/>
    <mergeCell ref="I2:I3"/>
    <mergeCell ref="J2:J3"/>
    <mergeCell ref="E2:E3"/>
    <mergeCell ref="F2:F3"/>
  </mergeCells>
  <phoneticPr fontId="0" type="noConversion"/>
  <conditionalFormatting sqref="A4:D8 A10:D15">
    <cfRule type="expression" dxfId="4" priority="10" stopIfTrue="1">
      <formula>ROW()&gt;9</formula>
    </cfRule>
  </conditionalFormatting>
  <conditionalFormatting sqref="A10:D10">
    <cfRule type="expression" dxfId="3" priority="2" stopIfTrue="1">
      <formula>ROW()&gt;11</formula>
    </cfRule>
  </conditionalFormatting>
  <conditionalFormatting sqref="A9:D9">
    <cfRule type="expression" dxfId="2" priority="1" stopIfTrue="1">
      <formula>ROW()&gt;9</formula>
    </cfRule>
  </conditionalFormatting>
  <dataValidations count="1">
    <dataValidation allowBlank="1" showInputMessage="1" showErrorMessage="1" errorTitle="Itinerary Number" error="The itinerary number entered must be in the form of &quot;12-n&quot; where &quot;n&quot; is the desired itinerary number (1 to 35)." sqref="A4:A14" xr:uid="{00000000-0002-0000-0300-000000000000}"/>
  </dataValidations>
  <printOptions horizontalCentered="1" verticalCentered="1"/>
  <pageMargins left="0.5" right="0.5" top="0.41" bottom="0.38" header="1.19" footer="0.24"/>
  <pageSetup scale="72" orientation="landscape" horizontalDpi="4294967295" verticalDpi="4294967295" r:id="rId1"/>
  <headerFooter>
    <oddFooter>&amp;L&amp;7&amp;F!&amp;A&amp;R&amp;7&amp;D &amp;T</oddFooter>
  </headerFooter>
  <drawing r:id="rId2"/>
  <legacyDrawing r:id="rId3"/>
  <controls>
    <mc:AlternateContent xmlns:mc="http://schemas.openxmlformats.org/markup-compatibility/2006">
      <mc:Choice Requires="x14">
        <control shapeId="1128" r:id="rId4" name="btnRankItineraries">
          <controlPr defaultSize="0" print="0" autoLine="0" r:id="rId5">
            <anchor moveWithCells="1">
              <from>
                <xdr:col>4</xdr:col>
                <xdr:colOff>180975</xdr:colOff>
                <xdr:row>9</xdr:row>
                <xdr:rowOff>133350</xdr:rowOff>
              </from>
              <to>
                <xdr:col>5</xdr:col>
                <xdr:colOff>542925</xdr:colOff>
                <xdr:row>11</xdr:row>
                <xdr:rowOff>57150</xdr:rowOff>
              </to>
            </anchor>
          </controlPr>
        </control>
      </mc:Choice>
      <mc:Fallback>
        <control shapeId="1128" r:id="rId4" name="btnRankItineraries"/>
      </mc:Fallback>
    </mc:AlternateContent>
    <mc:AlternateContent xmlns:mc="http://schemas.openxmlformats.org/markup-compatibility/2006">
      <mc:Choice Requires="x14">
        <control shapeId="1028" r:id="rId6" name="Button 4">
          <controlPr defaultSize="0" print="0" autoFill="0" autoLine="0" autoPict="0" macro="[0]!setTotal_Results">
            <anchor moveWithCells="1" sizeWithCells="1">
              <from>
                <xdr:col>4</xdr:col>
                <xdr:colOff>142875</xdr:colOff>
                <xdr:row>11</xdr:row>
                <xdr:rowOff>104775</xdr:rowOff>
              </from>
              <to>
                <xdr:col>4</xdr:col>
                <xdr:colOff>695325</xdr:colOff>
                <xdr:row>12</xdr:row>
                <xdr:rowOff>104775</xdr:rowOff>
              </to>
            </anchor>
          </controlPr>
        </control>
      </mc:Choice>
    </mc:AlternateContent>
    <mc:AlternateContent xmlns:mc="http://schemas.openxmlformats.org/markup-compatibility/2006">
      <mc:Choice Requires="x14">
        <control shapeId="1029" r:id="rId7" name="Button 5">
          <controlPr defaultSize="0" print="0" autoFill="0" autoLine="0" autoPict="0" macro="[0]!setMean_Results">
            <anchor moveWithCells="1" sizeWithCells="1">
              <from>
                <xdr:col>5</xdr:col>
                <xdr:colOff>28575</xdr:colOff>
                <xdr:row>11</xdr:row>
                <xdr:rowOff>104775</xdr:rowOff>
              </from>
              <to>
                <xdr:col>5</xdr:col>
                <xdr:colOff>581025</xdr:colOff>
                <xdr:row>12</xdr:row>
                <xdr:rowOff>104775</xdr:rowOff>
              </to>
            </anchor>
          </controlPr>
        </control>
      </mc:Choice>
    </mc:AlternateContent>
    <mc:AlternateContent xmlns:mc="http://schemas.openxmlformats.org/markup-compatibility/2006">
      <mc:Choice Requires="x14">
        <control shapeId="1126" r:id="rId8" name="Button 102">
          <controlPr defaultSize="0" print="0" autoFill="0" autoLine="0" autoPict="0" macro="[0]!setMedian_Results">
            <anchor moveWithCells="1" sizeWithCells="1">
              <from>
                <xdr:col>4</xdr:col>
                <xdr:colOff>142875</xdr:colOff>
                <xdr:row>12</xdr:row>
                <xdr:rowOff>133350</xdr:rowOff>
              </from>
              <to>
                <xdr:col>4</xdr:col>
                <xdr:colOff>695325</xdr:colOff>
                <xdr:row>13</xdr:row>
                <xdr:rowOff>152400</xdr:rowOff>
              </to>
            </anchor>
          </controlPr>
        </control>
      </mc:Choice>
    </mc:AlternateContent>
    <mc:AlternateContent xmlns:mc="http://schemas.openxmlformats.org/markup-compatibility/2006">
      <mc:Choice Requires="x14">
        <control shapeId="1127" r:id="rId9" name="Button 103">
          <controlPr defaultSize="0" print="0" autoFill="0" autoLine="0" autoPict="0" macro="[0]!setMode_Results">
            <anchor moveWithCells="1" sizeWithCells="1">
              <from>
                <xdr:col>5</xdr:col>
                <xdr:colOff>28575</xdr:colOff>
                <xdr:row>12</xdr:row>
                <xdr:rowOff>133350</xdr:rowOff>
              </from>
              <to>
                <xdr:col>5</xdr:col>
                <xdr:colOff>581025</xdr:colOff>
                <xdr:row>13</xdr:row>
                <xdr:rowOff>152400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indexed="13"/>
    <pageSetUpPr autoPageBreaks="0" fitToPage="1"/>
  </sheetPr>
  <dimension ref="A1:AH45"/>
  <sheetViews>
    <sheetView showGridLines="0" showRowColHeaders="0" showZeros="0" showOutlineSymbols="0" zoomScale="70" zoomScaleNormal="70" zoomScaleSheetLayoutView="80" workbookViewId="0">
      <selection activeCell="C2" sqref="C2"/>
    </sheetView>
  </sheetViews>
  <sheetFormatPr defaultRowHeight="12.75" x14ac:dyDescent="0.2"/>
  <cols>
    <col min="1" max="1" width="12.85546875" customWidth="1"/>
    <col min="2" max="2" width="6.42578125" customWidth="1"/>
    <col min="3" max="3" width="13.7109375" customWidth="1"/>
    <col min="4" max="4" width="4.28515625" customWidth="1"/>
    <col min="5" max="5" width="8.28515625" customWidth="1"/>
    <col min="6" max="6" width="4.85546875" customWidth="1"/>
    <col min="7" max="7" width="10.28515625" customWidth="1"/>
    <col min="8" max="9" width="2.5703125" customWidth="1"/>
    <col min="10" max="11" width="9" customWidth="1"/>
    <col min="12" max="12" width="10.28515625" customWidth="1"/>
    <col min="13" max="13" width="3.28515625" style="33" customWidth="1"/>
    <col min="14" max="14" width="9.42578125" style="33" customWidth="1"/>
    <col min="15" max="15" width="16.28515625" style="33" customWidth="1"/>
    <col min="16" max="18" width="9.140625" style="33" customWidth="1"/>
    <col min="19" max="19" width="7.7109375" style="33" customWidth="1"/>
    <col min="20" max="20" width="9.140625" style="33" customWidth="1"/>
    <col min="21" max="21" width="9.140625" style="278" customWidth="1"/>
    <col min="22" max="22" width="77.85546875" style="278" customWidth="1"/>
    <col min="23" max="23" width="10.42578125" style="278" customWidth="1"/>
    <col min="24" max="24" width="12.42578125" style="172" customWidth="1"/>
    <col min="25" max="25" width="11.140625" style="172" customWidth="1"/>
    <col min="26" max="26" width="12.42578125" style="172" customWidth="1"/>
    <col min="27" max="27" width="12.85546875" style="172" customWidth="1"/>
    <col min="28" max="28" width="16.85546875" style="172" customWidth="1"/>
    <col min="29" max="29" width="7.42578125" style="172" customWidth="1"/>
    <col min="30" max="30" width="5.85546875" style="172" customWidth="1"/>
    <col min="31" max="31" width="8.140625" style="172" customWidth="1"/>
    <col min="32" max="32" width="11.85546875" style="172" customWidth="1"/>
    <col min="33" max="33" width="9.85546875" style="172" customWidth="1"/>
    <col min="34" max="34" width="13" style="172" customWidth="1"/>
  </cols>
  <sheetData>
    <row r="1" spans="1:34" ht="21" customHeight="1" thickBot="1" x14ac:dyDescent="0.4">
      <c r="A1" s="1169" t="s">
        <v>158</v>
      </c>
      <c r="B1" s="1169"/>
      <c r="C1" s="1169"/>
      <c r="D1" s="1169"/>
      <c r="E1" s="1169"/>
      <c r="F1" s="1169"/>
      <c r="G1" s="1169"/>
      <c r="H1" s="1169"/>
      <c r="I1" s="1169"/>
      <c r="J1" s="1169"/>
      <c r="K1" s="1169"/>
      <c r="L1" s="1169"/>
      <c r="M1" s="1169"/>
      <c r="N1" s="1169"/>
      <c r="O1" s="1169"/>
      <c r="P1" s="1169"/>
      <c r="Q1" s="1169"/>
      <c r="R1" s="1169"/>
      <c r="S1" s="1169"/>
      <c r="T1" s="235"/>
      <c r="U1" s="277"/>
      <c r="V1" s="277"/>
      <c r="W1" s="277"/>
      <c r="X1" s="171"/>
      <c r="Y1" s="171"/>
    </row>
    <row r="2" spans="1:34" s="32" customFormat="1" ht="19.5" customHeight="1" thickBot="1" x14ac:dyDescent="0.25">
      <c r="A2" s="44" t="s">
        <v>159</v>
      </c>
      <c r="B2" s="45"/>
      <c r="C2" s="117" t="s">
        <v>631</v>
      </c>
      <c r="D2" s="1181"/>
      <c r="E2" s="1182"/>
      <c r="F2" s="1182"/>
      <c r="G2" s="1182"/>
      <c r="H2" s="1182"/>
      <c r="I2" s="1182"/>
      <c r="J2" s="1182"/>
      <c r="K2" s="1182"/>
      <c r="L2" s="1182"/>
      <c r="M2" s="1182"/>
      <c r="N2" s="1182"/>
      <c r="O2" s="1182"/>
      <c r="P2" s="1182"/>
      <c r="Q2" s="1182"/>
      <c r="R2" s="1182"/>
      <c r="S2" s="1182"/>
      <c r="T2" s="267"/>
      <c r="U2" s="300"/>
      <c r="V2" s="279"/>
      <c r="W2" s="279"/>
      <c r="X2" s="305"/>
      <c r="Y2" s="305"/>
      <c r="Z2" s="305"/>
      <c r="AA2" s="305"/>
      <c r="AB2" s="305"/>
      <c r="AC2" s="305"/>
      <c r="AD2" s="305"/>
      <c r="AE2" s="305"/>
      <c r="AF2" s="305"/>
      <c r="AG2" s="306"/>
      <c r="AH2" s="306"/>
    </row>
    <row r="3" spans="1:34" s="32" customFormat="1" ht="13.5" thickBot="1" x14ac:dyDescent="0.25">
      <c r="A3" s="46" t="s">
        <v>360</v>
      </c>
      <c r="B3" s="47"/>
      <c r="C3" s="265" t="s">
        <v>468</v>
      </c>
      <c r="D3" s="48"/>
      <c r="E3" s="48"/>
      <c r="F3" s="67"/>
      <c r="G3" s="67"/>
      <c r="H3" s="67"/>
      <c r="I3" s="67"/>
      <c r="J3" s="67"/>
      <c r="K3" s="67"/>
      <c r="L3" s="67"/>
      <c r="M3" s="67"/>
      <c r="N3" s="67"/>
      <c r="O3" s="67"/>
      <c r="P3" s="67"/>
      <c r="Q3" s="67"/>
      <c r="R3" s="67"/>
      <c r="S3" s="67"/>
      <c r="T3" s="67"/>
      <c r="U3" s="300"/>
      <c r="V3" s="279"/>
      <c r="W3" s="279"/>
      <c r="X3" s="307"/>
      <c r="Y3" s="305"/>
      <c r="Z3" s="305"/>
      <c r="AA3" s="305"/>
      <c r="AB3" s="305"/>
      <c r="AC3" s="305"/>
      <c r="AD3" s="305"/>
      <c r="AE3" s="305"/>
      <c r="AF3" s="305"/>
      <c r="AG3" s="306"/>
      <c r="AH3" s="306"/>
    </row>
    <row r="4" spans="1:34" ht="10.5" customHeight="1" x14ac:dyDescent="0.2">
      <c r="A4" s="235"/>
      <c r="B4" s="235"/>
      <c r="C4" s="235" t="s">
        <v>37</v>
      </c>
      <c r="D4" s="235"/>
      <c r="E4" s="235"/>
      <c r="F4" s="235"/>
      <c r="G4" s="235"/>
      <c r="H4" s="235"/>
      <c r="I4" s="235"/>
      <c r="J4" s="235"/>
      <c r="K4" s="235"/>
      <c r="L4" s="235"/>
      <c r="M4" s="235"/>
      <c r="N4" s="235"/>
      <c r="O4" s="235"/>
      <c r="P4" s="235"/>
      <c r="Q4" s="235"/>
      <c r="R4" s="235"/>
      <c r="S4" s="235"/>
      <c r="T4" s="235"/>
      <c r="U4" s="277"/>
      <c r="V4" s="277"/>
      <c r="W4" s="277"/>
      <c r="X4" s="307"/>
      <c r="Y4" s="305"/>
    </row>
    <row r="5" spans="1:34" s="32" customFormat="1" ht="15.75" customHeight="1" x14ac:dyDescent="0.2">
      <c r="A5" s="283" t="s">
        <v>259</v>
      </c>
      <c r="B5" s="627"/>
      <c r="C5" s="628" t="str" cm="1">
        <f t="array" ref="C5">VLOOKUP(INDEX(classification,numericItinerary(itineraryNumber)),difficultyTable,2)</f>
        <v>Challenging</v>
      </c>
      <c r="D5" s="290"/>
      <c r="E5" s="1174" t="s">
        <v>395</v>
      </c>
      <c r="F5" s="1175"/>
      <c r="G5" s="291" t="str">
        <f>getNcamps("Staff",itineraryNumber)</f>
        <v>5</v>
      </c>
      <c r="H5" s="290"/>
      <c r="I5" s="48"/>
      <c r="J5" s="295" t="s">
        <v>196</v>
      </c>
      <c r="K5" s="1189" t="str">
        <f t="array" ref="K5">getCountry(numericItinerary(itineraryNumber))</f>
        <v>South</v>
      </c>
      <c r="L5" s="1190"/>
      <c r="M5" s="296"/>
      <c r="N5" s="303" t="s">
        <v>371</v>
      </c>
      <c r="O5" s="1193" t="str">
        <f>AA25</f>
        <v>Zastrow Trailhead</v>
      </c>
      <c r="P5" s="1193"/>
      <c r="Q5" s="1194"/>
      <c r="R5" s="322"/>
      <c r="S5" s="302"/>
      <c r="T5" s="53"/>
      <c r="U5" s="279"/>
      <c r="V5" s="279"/>
      <c r="W5" s="279"/>
      <c r="X5" s="307"/>
      <c r="Y5" s="305"/>
      <c r="Z5" s="305"/>
      <c r="AA5" s="305"/>
      <c r="AB5" s="306"/>
      <c r="AC5" s="306"/>
      <c r="AD5" s="306"/>
      <c r="AE5" s="306"/>
      <c r="AF5" s="306"/>
      <c r="AG5" s="306"/>
      <c r="AH5" s="306"/>
    </row>
    <row r="6" spans="1:34" s="32" customFormat="1" ht="15.75" customHeight="1" x14ac:dyDescent="0.2">
      <c r="A6" s="1170" t="s">
        <v>260</v>
      </c>
      <c r="B6" s="1171"/>
      <c r="C6" s="292" cm="1">
        <f t="array" ref="C6">INDEX(distance,numericItinerary(itineraryNumber))</f>
        <v>40</v>
      </c>
      <c r="D6" s="290"/>
      <c r="E6" s="1170" t="s">
        <v>396</v>
      </c>
      <c r="F6" s="1171"/>
      <c r="G6" s="292" t="str">
        <f>getNcamps("Trail",itineraryNumber)</f>
        <v>5</v>
      </c>
      <c r="H6" s="290"/>
      <c r="I6" s="268"/>
      <c r="J6" s="288" t="s">
        <v>242</v>
      </c>
      <c r="K6" s="1191" t="str">
        <f t="array" ref="K6">getMaps(numericItinerary(itineraryNumber))</f>
        <v>South</v>
      </c>
      <c r="L6" s="1192"/>
      <c r="M6" s="297"/>
      <c r="N6" s="304" t="s">
        <v>372</v>
      </c>
      <c r="O6" s="1195" t="str">
        <f>AB25</f>
        <v>Hike In</v>
      </c>
      <c r="P6" s="1195"/>
      <c r="Q6" s="1196"/>
      <c r="R6" s="323"/>
      <c r="S6" s="269"/>
      <c r="T6" s="53"/>
      <c r="U6" s="279"/>
      <c r="V6" s="279"/>
      <c r="W6" s="279"/>
      <c r="X6" s="307"/>
      <c r="Y6" s="305"/>
      <c r="Z6" s="305"/>
      <c r="AA6" s="305"/>
      <c r="AB6" s="306"/>
      <c r="AC6" s="306"/>
      <c r="AD6" s="306"/>
      <c r="AE6" s="306"/>
      <c r="AF6" s="306"/>
      <c r="AG6" s="306"/>
      <c r="AH6" s="306"/>
    </row>
    <row r="7" spans="1:34" s="32" customFormat="1" ht="15.75" customHeight="1" x14ac:dyDescent="0.2">
      <c r="A7" s="1170" t="s">
        <v>391</v>
      </c>
      <c r="B7" s="1171"/>
      <c r="C7" s="292" t="str" cm="1">
        <f t="array" ref="C7">getFoodDays(itineraryNumber)</f>
        <v>2/2</v>
      </c>
      <c r="D7" s="290"/>
      <c r="E7" s="1170" t="s">
        <v>397</v>
      </c>
      <c r="F7" s="1171"/>
      <c r="G7" s="293" t="str">
        <f>getNcamps("Layover",itineraryNumber)</f>
        <v>2</v>
      </c>
      <c r="H7" s="48"/>
      <c r="I7" s="48"/>
      <c r="J7" s="48"/>
      <c r="K7" s="48"/>
      <c r="L7" s="48"/>
      <c r="M7" s="269"/>
      <c r="N7" s="269"/>
      <c r="O7" s="269"/>
      <c r="P7" s="269"/>
      <c r="Q7" s="269"/>
      <c r="R7" s="269"/>
      <c r="S7" s="269"/>
      <c r="T7" s="269"/>
      <c r="U7" s="279"/>
      <c r="V7" s="279"/>
      <c r="W7" s="279"/>
      <c r="X7" s="307"/>
      <c r="Y7" s="305"/>
      <c r="Z7" s="305"/>
      <c r="AA7" s="305"/>
      <c r="AB7" s="305"/>
      <c r="AC7" s="305"/>
      <c r="AD7" s="305"/>
      <c r="AE7" s="305"/>
      <c r="AF7" s="305"/>
      <c r="AG7" s="306"/>
      <c r="AH7" s="306"/>
    </row>
    <row r="8" spans="1:34" s="32" customFormat="1" ht="15.75" customHeight="1" x14ac:dyDescent="0.2">
      <c r="A8" s="1172" t="s">
        <v>261</v>
      </c>
      <c r="B8" s="1173"/>
      <c r="C8" s="289" t="str" cm="1">
        <f t="array" ref="C8">IF(INDEX(viaTooth,numericItinerary(itineraryNumber))="y","Yes","No")</f>
        <v>No</v>
      </c>
      <c r="D8" s="290"/>
      <c r="E8" s="1170" t="s">
        <v>4</v>
      </c>
      <c r="F8" s="1171"/>
      <c r="G8" s="293" t="str">
        <f>getNcamps("Dry",itineraryNumber)</f>
        <v>0</v>
      </c>
      <c r="H8" s="48"/>
      <c r="I8" s="48"/>
      <c r="J8" s="287" t="s">
        <v>160</v>
      </c>
      <c r="K8" s="1199" t="str" cm="1">
        <f t="array" ref="K8">getPeakS(numericItinerary(itineraryNumber))</f>
        <v>Tooth of Time</v>
      </c>
      <c r="L8" s="1199"/>
      <c r="M8" s="1199"/>
      <c r="N8" s="1199"/>
      <c r="O8" s="1200"/>
      <c r="P8" s="270"/>
      <c r="Q8" s="270"/>
      <c r="R8" s="270"/>
      <c r="S8" s="270"/>
      <c r="T8" s="270"/>
      <c r="U8" s="280"/>
      <c r="V8" s="280"/>
      <c r="W8" s="280"/>
      <c r="X8" s="307"/>
      <c r="Y8" s="305"/>
      <c r="Z8" s="305"/>
      <c r="AA8" s="308"/>
      <c r="AB8" s="308"/>
      <c r="AC8" s="305"/>
      <c r="AD8" s="305"/>
      <c r="AE8" s="305"/>
      <c r="AF8" s="305"/>
      <c r="AG8" s="306"/>
      <c r="AH8" s="306"/>
    </row>
    <row r="9" spans="1:34" s="32" customFormat="1" ht="15.75" customHeight="1" x14ac:dyDescent="0.2">
      <c r="A9" s="1174" t="s">
        <v>392</v>
      </c>
      <c r="B9" s="1175"/>
      <c r="C9" s="294" t="str" cm="1">
        <f t="array" ref="C9">getAltitude("Min",itineraryNumber) &amp; "/" &amp; getAltitude("Max",itineraryNumber)</f>
        <v>7,217/9,330</v>
      </c>
      <c r="D9" s="290"/>
      <c r="E9" s="1172" t="s">
        <v>180</v>
      </c>
      <c r="F9" s="1173"/>
      <c r="G9" s="293">
        <f>COUNTIF(nShowers,"y")</f>
        <v>3</v>
      </c>
      <c r="H9" s="48"/>
      <c r="I9" s="48"/>
      <c r="J9" s="48"/>
      <c r="K9" s="48"/>
      <c r="L9" s="48"/>
      <c r="M9" s="269"/>
      <c r="N9" s="269"/>
      <c r="O9" s="269"/>
      <c r="P9" s="269"/>
      <c r="Q9" s="269"/>
      <c r="R9" s="269"/>
      <c r="S9" s="269"/>
      <c r="T9" s="269"/>
      <c r="U9" s="279"/>
      <c r="V9" s="279"/>
      <c r="W9" s="279"/>
      <c r="X9" s="307"/>
      <c r="Y9" s="305"/>
      <c r="Z9" s="305"/>
      <c r="AA9" s="309"/>
      <c r="AB9" s="309"/>
      <c r="AC9" s="305"/>
      <c r="AD9" s="305"/>
      <c r="AE9" s="305"/>
      <c r="AF9" s="305"/>
      <c r="AG9" s="306"/>
      <c r="AH9" s="306"/>
    </row>
    <row r="10" spans="1:34" s="29" customFormat="1" ht="15.75" customHeight="1" x14ac:dyDescent="0.2">
      <c r="A10" s="1176" t="s">
        <v>393</v>
      </c>
      <c r="B10" s="1177"/>
      <c r="C10" s="281" t="str" cm="1">
        <f t="array" ref="C10">getAltitude("Chg",itineraryNumber)</f>
        <v>2,113</v>
      </c>
      <c r="D10" s="1183" t="s">
        <v>370</v>
      </c>
      <c r="E10" s="1184"/>
      <c r="F10" s="1184"/>
      <c r="G10" s="1185"/>
      <c r="H10" s="50"/>
      <c r="I10" s="52"/>
      <c r="J10" s="52"/>
      <c r="K10" s="52"/>
      <c r="L10" s="50"/>
      <c r="M10" s="270"/>
      <c r="N10" s="270"/>
      <c r="O10" s="270"/>
      <c r="P10" s="270"/>
      <c r="Q10" s="270"/>
      <c r="R10" s="270"/>
      <c r="S10" s="270"/>
      <c r="T10" s="270"/>
      <c r="U10" s="280"/>
      <c r="V10" s="280"/>
      <c r="W10" s="280"/>
      <c r="X10" s="310"/>
      <c r="Y10" s="310"/>
      <c r="Z10" s="171"/>
      <c r="AA10" s="311"/>
      <c r="AB10" s="311"/>
      <c r="AC10" s="310"/>
      <c r="AD10" s="310"/>
      <c r="AE10" s="310"/>
      <c r="AF10" s="310"/>
      <c r="AG10" s="173"/>
      <c r="AH10" s="173"/>
    </row>
    <row r="11" spans="1:34" s="29" customFormat="1" ht="15.75" customHeight="1" x14ac:dyDescent="0.2">
      <c r="A11" s="1178" t="s">
        <v>394</v>
      </c>
      <c r="B11" s="1179"/>
      <c r="C11" s="282" t="str" cm="1">
        <f t="array" ref="C11">getAltitude("Avg",itineraryNumber)</f>
        <v>728</v>
      </c>
      <c r="D11" s="1186"/>
      <c r="E11" s="1187"/>
      <c r="F11" s="1187"/>
      <c r="G11" s="1188"/>
      <c r="H11" s="50"/>
      <c r="I11" s="36"/>
      <c r="J11" s="36"/>
      <c r="K11" s="36"/>
      <c r="L11" s="50"/>
      <c r="M11" s="270"/>
      <c r="N11" s="270"/>
      <c r="O11" s="270"/>
      <c r="P11" s="270"/>
      <c r="Q11" s="270"/>
      <c r="R11" s="270"/>
      <c r="S11" s="270"/>
      <c r="T11" s="270"/>
      <c r="U11" s="280"/>
      <c r="V11" s="280"/>
      <c r="W11" s="280"/>
      <c r="X11" s="310"/>
      <c r="Y11" s="310"/>
      <c r="Z11" s="171"/>
      <c r="AA11" s="312"/>
      <c r="AB11" s="312"/>
      <c r="AC11" s="310"/>
      <c r="AD11" s="310"/>
      <c r="AE11" s="310"/>
      <c r="AF11" s="310"/>
      <c r="AG11" s="173"/>
      <c r="AH11" s="173"/>
    </row>
    <row r="12" spans="1:34" s="29" customFormat="1" ht="102.75" customHeight="1" x14ac:dyDescent="0.2">
      <c r="A12" s="49" t="s">
        <v>0</v>
      </c>
      <c r="B12" s="1197" t="str">
        <f>INDEX(descriptions,numericItinerary(itineraryNumber))</f>
        <v>This program-focused itinerary visits many of the staffed camps located in Philmont's South Country while exploring this region's beautiful meadows, riverways, and mesas. Plenty of time is provided for exploring all of the activities offered at each camp or for exploring side hikes to nearby peaks or viewpoints. This trek would be an excellent way to explore Philmont for the first time!</v>
      </c>
      <c r="C12" s="1197"/>
      <c r="D12" s="1197"/>
      <c r="E12" s="1197"/>
      <c r="F12" s="1197"/>
      <c r="G12" s="1197"/>
      <c r="H12" s="1197"/>
      <c r="I12" s="1197"/>
      <c r="J12" s="1197"/>
      <c r="K12" s="1197"/>
      <c r="L12" s="1197"/>
      <c r="M12" s="1197"/>
      <c r="N12" s="1197"/>
      <c r="O12" s="1197"/>
      <c r="P12" s="1197"/>
      <c r="Q12" s="1197"/>
      <c r="R12" s="1197"/>
      <c r="S12" s="1197"/>
      <c r="T12" s="270"/>
      <c r="U12" s="280"/>
      <c r="V12" s="280"/>
      <c r="W12" s="280"/>
      <c r="X12" s="310"/>
      <c r="Y12" s="310"/>
      <c r="Z12" s="173"/>
      <c r="AA12" s="173"/>
      <c r="AB12" s="173"/>
      <c r="AC12" s="173"/>
      <c r="AD12" s="173"/>
      <c r="AE12" s="173"/>
      <c r="AF12" s="173"/>
      <c r="AG12" s="173"/>
      <c r="AH12" s="173"/>
    </row>
    <row r="13" spans="1:34" s="29" customFormat="1" ht="52.5" customHeight="1" x14ac:dyDescent="0.2">
      <c r="A13" s="49" t="s">
        <v>161</v>
      </c>
      <c r="B13" s="1197" t="str">
        <f>getPrograms(numericItinerary(itineraryNumber))</f>
        <v xml:space="preserve">Climbing: Bouldering Gym, Climbing: Climbing Wall/Tower, Climbing: Crate Stacking, Climbing: Rock Climbing, COPE: High Challenge Course, COPE: Initiative Games, COPE: Low Challenge Course, Ecology: Self-Guided Fishing, Evening: Campfire Show, Evening: Chuckwagon Dinner, Historical: Adobe Brick-Making, Historical: Blacksmithing, Historical: Cabin Restoration, Historical: Crafting, Historical: Crosscut &amp; Tie Making, Historical: Flint Knapping, Landmarks: Mount Phillips, Livestock: Burro Packing, Livestock: Horse Rides, Range Sports: Rifle Shooting, Western Lore: Cantina, Western Lore: Roping, </v>
      </c>
      <c r="C13" s="1197"/>
      <c r="D13" s="1197"/>
      <c r="E13" s="1197"/>
      <c r="F13" s="1197"/>
      <c r="G13" s="1197"/>
      <c r="H13" s="1197"/>
      <c r="I13" s="1197"/>
      <c r="J13" s="1197"/>
      <c r="K13" s="1197"/>
      <c r="L13" s="1197"/>
      <c r="M13" s="1197"/>
      <c r="N13" s="1197"/>
      <c r="O13" s="1197"/>
      <c r="P13" s="1197"/>
      <c r="Q13" s="1197"/>
      <c r="R13" s="1197"/>
      <c r="S13" s="1197"/>
      <c r="T13" s="270"/>
      <c r="U13" s="280"/>
      <c r="V13" s="280"/>
      <c r="W13" s="280"/>
      <c r="X13" s="310"/>
      <c r="Y13" s="310"/>
      <c r="Z13" s="173"/>
      <c r="AA13" s="173"/>
      <c r="AB13" s="173"/>
      <c r="AC13" s="173"/>
      <c r="AD13" s="173"/>
      <c r="AE13" s="173"/>
      <c r="AF13" s="173"/>
      <c r="AG13" s="173"/>
      <c r="AH13" s="173"/>
    </row>
    <row r="14" spans="1:34" s="29" customFormat="1" ht="12.75" customHeight="1" x14ac:dyDescent="0.2">
      <c r="A14" s="49"/>
      <c r="B14" s="49"/>
      <c r="C14" s="65"/>
      <c r="D14" s="266"/>
      <c r="E14" s="266"/>
      <c r="F14" s="266"/>
      <c r="G14" s="266"/>
      <c r="H14" s="266"/>
      <c r="I14" s="266"/>
      <c r="J14" s="65"/>
      <c r="K14" s="1198" t="s">
        <v>332</v>
      </c>
      <c r="L14" s="1198"/>
      <c r="M14" s="1198"/>
      <c r="N14" s="1198"/>
      <c r="O14" s="270"/>
      <c r="P14" s="270"/>
      <c r="Q14" s="270"/>
      <c r="R14" s="270"/>
      <c r="S14" s="270"/>
      <c r="T14" s="270"/>
      <c r="U14" s="280"/>
      <c r="V14" s="280"/>
      <c r="W14" s="280"/>
      <c r="X14" s="310"/>
      <c r="Y14" s="310"/>
      <c r="Z14" s="310"/>
      <c r="AA14" s="173"/>
      <c r="AB14" s="173"/>
      <c r="AC14" s="173"/>
      <c r="AD14" s="173"/>
      <c r="AE14" s="173"/>
      <c r="AF14" s="173"/>
      <c r="AG14" s="173"/>
      <c r="AH14" s="173"/>
    </row>
    <row r="15" spans="1:34" s="29" customFormat="1" ht="25.5" customHeight="1" x14ac:dyDescent="0.2">
      <c r="B15" s="284" t="s">
        <v>183</v>
      </c>
      <c r="C15" s="284"/>
      <c r="D15" s="285" t="s">
        <v>162</v>
      </c>
      <c r="E15" s="1180" t="s">
        <v>465</v>
      </c>
      <c r="F15" s="1180"/>
      <c r="G15" s="1180"/>
      <c r="H15" s="1180"/>
      <c r="I15" s="1180"/>
      <c r="J15" s="286"/>
      <c r="K15" s="285" t="s">
        <v>163</v>
      </c>
      <c r="L15" s="285" t="s">
        <v>211</v>
      </c>
      <c r="M15" s="1198" t="s">
        <v>210</v>
      </c>
      <c r="N15" s="1198"/>
      <c r="O15" s="286" t="s">
        <v>375</v>
      </c>
      <c r="P15" s="1180" t="s">
        <v>170</v>
      </c>
      <c r="Q15" s="1180"/>
      <c r="R15" s="1180"/>
      <c r="S15" s="298"/>
      <c r="T15" s="298"/>
      <c r="U15" s="298"/>
      <c r="V15" s="299"/>
      <c r="W15" s="299"/>
      <c r="X15" s="670" t="s">
        <v>163</v>
      </c>
      <c r="Y15" s="670" t="s">
        <v>149</v>
      </c>
      <c r="Z15" s="670" t="s">
        <v>271</v>
      </c>
      <c r="AA15" s="671" t="s">
        <v>162</v>
      </c>
      <c r="AB15" s="671" t="s">
        <v>270</v>
      </c>
      <c r="AC15" s="670" t="s">
        <v>187</v>
      </c>
      <c r="AD15" s="670" t="s">
        <v>192</v>
      </c>
      <c r="AE15" s="670" t="s">
        <v>180</v>
      </c>
      <c r="AF15" s="670" t="s">
        <v>177</v>
      </c>
      <c r="AG15" s="670" t="s">
        <v>178</v>
      </c>
      <c r="AH15" s="671" t="s">
        <v>273</v>
      </c>
    </row>
    <row r="16" spans="1:34" s="29" customFormat="1" ht="19.5" customHeight="1" x14ac:dyDescent="0.2">
      <c r="B16" s="1165" t="str">
        <f>AA16 &amp; " (" &amp; TEXT(Z16,"m/d/yyyy") &amp; ")"</f>
        <v>Sunday (6/8/2025)</v>
      </c>
      <c r="C16" s="1165"/>
      <c r="D16" s="290">
        <v>1</v>
      </c>
      <c r="E16" s="1165" t="s">
        <v>367</v>
      </c>
      <c r="F16" s="1165"/>
      <c r="G16" s="1165"/>
      <c r="H16" s="1165"/>
      <c r="I16" s="1165"/>
      <c r="J16" s="1165"/>
      <c r="K16" s="290" t="str">
        <f t="shared" ref="K16:K24" si="0">TEXT(INDEX(campLocation,MATCH(AB16,camps,0),5),"##,##0")</f>
        <v>6,696</v>
      </c>
      <c r="L16" s="317">
        <f t="shared" ref="L16:L24" si="1">INDEX(campInfo,MATCH(AB16,camps),3)</f>
        <v>503848</v>
      </c>
      <c r="M16" s="1166">
        <f t="shared" ref="M16:M24" si="2">INDEX(campInfo,MATCH(AB16,camps),4)</f>
        <v>4034364</v>
      </c>
      <c r="N16" s="1166"/>
      <c r="O16" s="320"/>
      <c r="P16" s="1167" t="str">
        <f t="array" ref="P16">getUS64crossingdirection(itineraryNumber,D16)</f>
        <v/>
      </c>
      <c r="Q16" s="1167"/>
      <c r="R16" s="1167"/>
      <c r="S16" s="321"/>
      <c r="T16" s="51"/>
      <c r="U16" s="51"/>
      <c r="V16" s="51"/>
      <c r="W16" s="301"/>
      <c r="X16" s="672">
        <f t="shared" ref="X16:X24" si="3">INT(K16)</f>
        <v>6696</v>
      </c>
      <c r="Y16" s="672">
        <v>0</v>
      </c>
      <c r="Z16" s="673" cm="1">
        <f t="array" ref="Z16">expeditionStartDate(itinExpeditionNo)</f>
        <v>45816</v>
      </c>
      <c r="AA16" s="171" t="str" cm="1">
        <f t="array" ref="AA16">INDEX({"Sunday","Monday","Tuesday","Wednesday","Thursday","Friday","Saturday"},WEEKDAY(Z16))</f>
        <v>Sunday</v>
      </c>
      <c r="AB16" s="171" t="s">
        <v>367</v>
      </c>
      <c r="AC16" s="672"/>
      <c r="AD16" s="672" t="str">
        <f>INDEX(campInfo,MATCH($AB16,camps),10)</f>
        <v/>
      </c>
      <c r="AE16" s="672" t="str">
        <f>INDEX(campInfo,MATCH($AB16,camps),11)</f>
        <v/>
      </c>
      <c r="AF16" s="672" t="str">
        <f>INDEX(campInfo,MATCH($AB16,camps),6)</f>
        <v/>
      </c>
      <c r="AG16" s="672" t="str">
        <f>INDEX(campInfo,MATCH($AB16,camps),7)</f>
        <v/>
      </c>
      <c r="AH16" s="171" t="str">
        <f t="shared" ref="AH16:AH24" si="4">VLOOKUP($AB16,campInfo,12)</f>
        <v>South</v>
      </c>
    </row>
    <row r="17" spans="1:34" s="30" customFormat="1" ht="19.5" customHeight="1" x14ac:dyDescent="0.2">
      <c r="B17" s="1165" t="str">
        <f t="shared" ref="B17:B24" si="5">AA17 &amp; " (" &amp; TEXT(Z17,"m/d/yyyy") &amp; ")"</f>
        <v>Monday (6/9/2025)</v>
      </c>
      <c r="C17" s="1165"/>
      <c r="D17" s="290">
        <f>D16+1</f>
        <v>2</v>
      </c>
      <c r="E17" s="1165" t="str">
        <f t="array" ref="E17">getCampWithInfo(AB17,AC17,AD17,AE17,AF17,AG17)</f>
        <v>ABREU (Showers)</v>
      </c>
      <c r="F17" s="1165"/>
      <c r="G17" s="1165"/>
      <c r="H17" s="1165"/>
      <c r="I17" s="1165"/>
      <c r="J17" s="1165"/>
      <c r="K17" s="290" t="str">
        <f t="shared" si="0"/>
        <v>7,217</v>
      </c>
      <c r="L17" s="317">
        <f t="shared" si="1"/>
        <v>498586</v>
      </c>
      <c r="M17" s="1166">
        <f t="shared" si="2"/>
        <v>4025999</v>
      </c>
      <c r="N17" s="1166"/>
      <c r="O17" s="320" t="str">
        <f t="array" ref="O17">INDEX(foodPickups,numericItinerary(itineraryNumber),D17-1)</f>
        <v>Camping HQ</v>
      </c>
      <c r="P17" s="1167" t="str">
        <f t="array" ref="P17">getUS64crossingdirection(itineraryNumber,D17)</f>
        <v/>
      </c>
      <c r="Q17" s="1167"/>
      <c r="R17" s="1167"/>
      <c r="S17" s="321"/>
      <c r="T17" s="51"/>
      <c r="U17" s="51"/>
      <c r="V17" s="51"/>
      <c r="W17" s="301"/>
      <c r="X17" s="672">
        <f t="shared" si="3"/>
        <v>7217</v>
      </c>
      <c r="Y17" s="672">
        <f>X17-X16</f>
        <v>521</v>
      </c>
      <c r="Z17" s="673">
        <f>Z16+1</f>
        <v>45817</v>
      </c>
      <c r="AA17" s="171" t="str" cm="1">
        <f t="array" ref="AA17">INDEX({"Sunday","Monday","Tuesday","Wednesday","Thursday","Friday","Saturday"},WEEKDAY(Z17))</f>
        <v>Monday</v>
      </c>
      <c r="AB17" s="171" t="s">
        <v>128</v>
      </c>
      <c r="AC17" s="672" t="str">
        <f t="shared" ref="AC17:AC24" si="6">IF(VLOOKUP($AB17,campInfo,8)="Y","Staff","Trail")</f>
        <v>Staff</v>
      </c>
      <c r="AD17" s="672" t="str">
        <f t="shared" ref="AD17:AD24" si="7">VLOOKUP($AB17,campInfo,10)</f>
        <v/>
      </c>
      <c r="AE17" s="672" t="str">
        <f t="shared" ref="AE17:AE24" si="8">VLOOKUP($AB17,campInfo,11)</f>
        <v>Y</v>
      </c>
      <c r="AF17" s="672" t="str">
        <f t="shared" ref="AF17:AF24" si="9">VLOOKUP($AB17,campInfo,6)</f>
        <v/>
      </c>
      <c r="AG17" s="672" t="str">
        <f t="shared" ref="AG17:AG24" si="10">VLOOKUP($AB17,campInfo,7)</f>
        <v/>
      </c>
      <c r="AH17" s="171" t="str">
        <f t="shared" si="4"/>
        <v>South</v>
      </c>
    </row>
    <row r="18" spans="1:34" s="30" customFormat="1" ht="19.5" customHeight="1" x14ac:dyDescent="0.2">
      <c r="B18" s="1165" t="str">
        <f>AA18 &amp; " (" &amp; TEXT(Z18,"m/d/yyyy") &amp; ")"</f>
        <v>Tuesday (6/10/2025)</v>
      </c>
      <c r="C18" s="1165"/>
      <c r="D18" s="290">
        <f t="shared" ref="D18:D24" si="11">D17+1</f>
        <v>3</v>
      </c>
      <c r="E18" s="1165" t="str">
        <f t="array" ref="E18">getCampWithInfo(AB18,AC18,AD18,AE18,AF18,AG18)</f>
        <v>Lower Bonito</v>
      </c>
      <c r="F18" s="1165"/>
      <c r="G18" s="1165"/>
      <c r="H18" s="1165"/>
      <c r="I18" s="1165"/>
      <c r="J18" s="1165"/>
      <c r="K18" s="290" t="str">
        <f>TEXT(INDEX(campLocation,MATCH(AB18,camps,0),5),"##,##0")</f>
        <v>8,962</v>
      </c>
      <c r="L18" s="317">
        <f t="shared" si="1"/>
        <v>493583</v>
      </c>
      <c r="M18" s="1166">
        <f t="shared" si="2"/>
        <v>4027520</v>
      </c>
      <c r="N18" s="1166"/>
      <c r="O18" s="320">
        <f t="array" ref="O18">INDEX(foodPickups,numericItinerary(itineraryNumber),D18-1)</f>
        <v>0</v>
      </c>
      <c r="P18" s="1167" t="str">
        <f t="array" ref="P18">getUS64crossingdirection(itineraryNumber,D18)</f>
        <v/>
      </c>
      <c r="Q18" s="1167"/>
      <c r="R18" s="1167"/>
      <c r="S18" s="321"/>
      <c r="T18" s="51"/>
      <c r="U18" s="51"/>
      <c r="V18" s="51"/>
      <c r="W18" s="301"/>
      <c r="X18" s="672">
        <f>INT(K18)</f>
        <v>8962</v>
      </c>
      <c r="Y18" s="672">
        <f t="shared" ref="Y18:Y24" si="12">X18-X17</f>
        <v>1745</v>
      </c>
      <c r="Z18" s="673">
        <f t="shared" ref="Z18:Z24" si="13">Z17+1</f>
        <v>45818</v>
      </c>
      <c r="AA18" s="171" t="str" cm="1">
        <f t="array" ref="AA18">INDEX({"Sunday","Monday","Tuesday","Wednesday","Thursday","Friday","Saturday"},WEEKDAY(Z18))</f>
        <v>Tuesday</v>
      </c>
      <c r="AB18" s="171" t="s">
        <v>175</v>
      </c>
      <c r="AC18" s="672" t="str">
        <f t="shared" si="6"/>
        <v>Trail</v>
      </c>
      <c r="AD18" s="672" t="str">
        <f t="shared" si="7"/>
        <v/>
      </c>
      <c r="AE18" s="672" t="str">
        <f t="shared" si="8"/>
        <v/>
      </c>
      <c r="AF18" s="672" t="str">
        <f t="shared" si="9"/>
        <v/>
      </c>
      <c r="AG18" s="672" t="str">
        <f t="shared" si="10"/>
        <v/>
      </c>
      <c r="AH18" s="171" t="str">
        <f t="shared" si="4"/>
        <v>South</v>
      </c>
    </row>
    <row r="19" spans="1:34" s="30" customFormat="1" ht="19.5" customHeight="1" x14ac:dyDescent="0.2">
      <c r="B19" s="1165" t="str">
        <f>AA19 &amp; " (" &amp; TEXT(Z19,"m/d/yyyy") &amp; ")"</f>
        <v>Wednesday (6/11/2025)</v>
      </c>
      <c r="C19" s="1165"/>
      <c r="D19" s="290">
        <f t="shared" si="11"/>
        <v>4</v>
      </c>
      <c r="E19" s="1165" t="str">
        <f t="array" ref="E19">getCampWithInfo(AB19,AC19,AD19,AE19,AF19,AG19)</f>
        <v>BEAUBIEN (Showers)</v>
      </c>
      <c r="F19" s="1165"/>
      <c r="G19" s="1165"/>
      <c r="H19" s="1165"/>
      <c r="I19" s="1165"/>
      <c r="J19" s="1165"/>
      <c r="K19" s="290" t="str">
        <f>TEXT(INDEX(campLocation,MATCH(AB19,camps,0),5),"##,##0")</f>
        <v>9,330</v>
      </c>
      <c r="L19" s="317">
        <f t="shared" si="1"/>
        <v>490738</v>
      </c>
      <c r="M19" s="1166">
        <f t="shared" si="2"/>
        <v>4030941</v>
      </c>
      <c r="N19" s="1166"/>
      <c r="O19" s="320" t="str">
        <f t="array" ref="O19">INDEX(foodPickups,numericItinerary(itineraryNumber),D19-1)</f>
        <v>Phillips Junction</v>
      </c>
      <c r="P19" s="1167" t="str">
        <f t="array" ref="P19">getUS64crossingdirection(itineraryNumber,D19)</f>
        <v/>
      </c>
      <c r="Q19" s="1167"/>
      <c r="R19" s="1167"/>
      <c r="S19" s="321"/>
      <c r="T19" s="51"/>
      <c r="U19" s="51"/>
      <c r="V19" s="51"/>
      <c r="W19" s="301"/>
      <c r="X19" s="672">
        <f>INT(K19)</f>
        <v>9330</v>
      </c>
      <c r="Y19" s="672">
        <f t="shared" si="12"/>
        <v>368</v>
      </c>
      <c r="Z19" s="673">
        <f t="shared" si="13"/>
        <v>45819</v>
      </c>
      <c r="AA19" s="171" t="str" cm="1">
        <f t="array" ref="AA19">INDEX({"Sunday","Monday","Tuesday","Wednesday","Thursday","Friday","Saturday"},WEEKDAY(Z19))</f>
        <v>Wednesday</v>
      </c>
      <c r="AB19" s="171" t="s">
        <v>63</v>
      </c>
      <c r="AC19" s="672" t="str">
        <f t="shared" si="6"/>
        <v>Staff</v>
      </c>
      <c r="AD19" s="672" t="str">
        <f t="shared" si="7"/>
        <v/>
      </c>
      <c r="AE19" s="672" t="str">
        <f t="shared" si="8"/>
        <v>Y</v>
      </c>
      <c r="AF19" s="672" t="str">
        <f t="shared" si="9"/>
        <v/>
      </c>
      <c r="AG19" s="672" t="str">
        <f t="shared" si="10"/>
        <v/>
      </c>
      <c r="AH19" s="171" t="str">
        <f t="shared" si="4"/>
        <v>South</v>
      </c>
    </row>
    <row r="20" spans="1:34" s="30" customFormat="1" ht="19.5" customHeight="1" x14ac:dyDescent="0.2">
      <c r="B20" s="1165" t="str">
        <f>AA20 &amp; " (" &amp; TEXT(Z20,"m/d/yyyy") &amp; ")"</f>
        <v>Thursday (6/12/2025)</v>
      </c>
      <c r="C20" s="1165"/>
      <c r="D20" s="290">
        <f t="shared" si="11"/>
        <v>5</v>
      </c>
      <c r="E20" s="1165" t="str">
        <f t="array" ref="E20">getCampWithInfo(AB20,AC20,AD20,AE20,AF20,AG20)</f>
        <v>BLACK MOUNTAIN</v>
      </c>
      <c r="F20" s="1165"/>
      <c r="G20" s="1165"/>
      <c r="H20" s="1165"/>
      <c r="I20" s="1165"/>
      <c r="J20" s="1165"/>
      <c r="K20" s="290" t="str">
        <f>TEXT(INDEX(campLocation,MATCH(AB20,camps,0),5),"##,##0")</f>
        <v>8,991</v>
      </c>
      <c r="L20" s="317">
        <f t="shared" si="1"/>
        <v>491634</v>
      </c>
      <c r="M20" s="1166">
        <f t="shared" si="2"/>
        <v>4033045</v>
      </c>
      <c r="N20" s="1166"/>
      <c r="O20" s="320">
        <f t="array" ref="O20">INDEX(foodPickups,numericItinerary(itineraryNumber),D20-1)</f>
        <v>0</v>
      </c>
      <c r="P20" s="1167" t="str">
        <f t="array" ref="P20">getUS64crossingdirection(itineraryNumber,D20)</f>
        <v/>
      </c>
      <c r="Q20" s="1167"/>
      <c r="R20" s="1167"/>
      <c r="S20" s="321"/>
      <c r="T20" s="51"/>
      <c r="U20" s="51"/>
      <c r="V20" s="51"/>
      <c r="W20" s="301"/>
      <c r="X20" s="672">
        <f>INT(K20)</f>
        <v>8991</v>
      </c>
      <c r="Y20" s="672">
        <f t="shared" si="12"/>
        <v>-339</v>
      </c>
      <c r="Z20" s="673">
        <f t="shared" si="13"/>
        <v>45820</v>
      </c>
      <c r="AA20" s="171" t="str" cm="1">
        <f t="array" ref="AA20">INDEX({"Sunday","Monday","Tuesday","Wednesday","Thursday","Friday","Saturday"},WEEKDAY(Z20))</f>
        <v>Thursday</v>
      </c>
      <c r="AB20" s="171" t="s">
        <v>66</v>
      </c>
      <c r="AC20" s="672" t="str">
        <f t="shared" si="6"/>
        <v>Staff</v>
      </c>
      <c r="AD20" s="672" t="str">
        <f t="shared" si="7"/>
        <v/>
      </c>
      <c r="AE20" s="672" t="str">
        <f t="shared" si="8"/>
        <v/>
      </c>
      <c r="AF20" s="672" t="str">
        <f t="shared" si="9"/>
        <v/>
      </c>
      <c r="AG20" s="672" t="str">
        <f t="shared" si="10"/>
        <v/>
      </c>
      <c r="AH20" s="171" t="str">
        <f t="shared" si="4"/>
        <v>South</v>
      </c>
    </row>
    <row r="21" spans="1:34" s="30" customFormat="1" ht="19.5" customHeight="1" x14ac:dyDescent="0.2">
      <c r="B21" s="1165" t="str">
        <f>AA21 &amp; " (" &amp; TEXT(Z21,"m/d/yyyy") &amp; ")"</f>
        <v>Friday (6/13/2025)</v>
      </c>
      <c r="C21" s="1165"/>
      <c r="D21" s="290">
        <f t="shared" si="11"/>
        <v>6</v>
      </c>
      <c r="E21" s="1165" t="str">
        <f t="array" ref="E21">getCampWithInfo(AB21,AC21,AD21,AE21,AF21,AG21)</f>
        <v>MINERS PARK (Showers, Commissary)</v>
      </c>
      <c r="F21" s="1165"/>
      <c r="G21" s="1165"/>
      <c r="H21" s="1165"/>
      <c r="I21" s="1165"/>
      <c r="J21" s="1165"/>
      <c r="K21" s="290" t="str">
        <f>TEXT(INDEX(campLocation,MATCH(AB21,camps,0),5),"##,##0")</f>
        <v>7,977</v>
      </c>
      <c r="L21" s="317">
        <f t="shared" si="1"/>
        <v>496250</v>
      </c>
      <c r="M21" s="1166">
        <f t="shared" si="2"/>
        <v>4030958</v>
      </c>
      <c r="N21" s="1166"/>
      <c r="O21" s="320" t="str">
        <f t="array" ref="O21">INDEX(foodPickups,numericItinerary(itineraryNumber),D21-1)</f>
        <v>Miners Park</v>
      </c>
      <c r="P21" s="1167" t="str">
        <f t="array" ref="P21">getUS64crossingdirection(itineraryNumber,D21)</f>
        <v/>
      </c>
      <c r="Q21" s="1167"/>
      <c r="R21" s="1167"/>
      <c r="S21" s="321"/>
      <c r="T21" s="51"/>
      <c r="U21" s="51"/>
      <c r="V21" s="51"/>
      <c r="W21" s="301"/>
      <c r="X21" s="672">
        <f>INT(K21)</f>
        <v>7977</v>
      </c>
      <c r="Y21" s="672">
        <f t="shared" si="12"/>
        <v>-1014</v>
      </c>
      <c r="Z21" s="673">
        <f t="shared" si="13"/>
        <v>45821</v>
      </c>
      <c r="AA21" s="171" t="str" cm="1">
        <f t="array" ref="AA21">INDEX({"Sunday","Monday","Tuesday","Wednesday","Thursday","Friday","Saturday"},WEEKDAY(Z21))</f>
        <v>Friday</v>
      </c>
      <c r="AB21" s="171" t="s">
        <v>90</v>
      </c>
      <c r="AC21" s="672" t="str">
        <f t="shared" si="6"/>
        <v>Staff</v>
      </c>
      <c r="AD21" s="672" t="str">
        <f t="shared" si="7"/>
        <v/>
      </c>
      <c r="AE21" s="672" t="str">
        <f t="shared" si="8"/>
        <v>Y</v>
      </c>
      <c r="AF21" s="672" t="str">
        <f t="shared" si="9"/>
        <v>Y</v>
      </c>
      <c r="AG21" s="672" t="str">
        <f t="shared" si="10"/>
        <v/>
      </c>
      <c r="AH21" s="171" t="str">
        <f t="shared" si="4"/>
        <v>South</v>
      </c>
    </row>
    <row r="22" spans="1:34" s="30" customFormat="1" ht="19.5" customHeight="1" x14ac:dyDescent="0.2">
      <c r="B22" s="1165" t="str">
        <f>AA22 &amp; " (" &amp; TEXT(Z22,"m/d/yyyy") &amp; ")"</f>
        <v>Saturday (6/14/2025)</v>
      </c>
      <c r="C22" s="1165"/>
      <c r="D22" s="290">
        <f t="shared" si="11"/>
        <v>7</v>
      </c>
      <c r="E22" s="1165" t="str">
        <f t="array" ref="E22">getCampWithInfo(AB22,AC22,AD22,AE22,AF22,AG22)</f>
        <v>Bear Caves</v>
      </c>
      <c r="F22" s="1165"/>
      <c r="G22" s="1165"/>
      <c r="H22" s="1165"/>
      <c r="I22" s="1165"/>
      <c r="J22" s="1165"/>
      <c r="K22" s="290" t="str">
        <f>TEXT(INDEX(campLocation,MATCH(AB22,camps,0),5),"##,##0")</f>
        <v>8,423</v>
      </c>
      <c r="L22" s="317">
        <f t="shared" si="1"/>
        <v>496976</v>
      </c>
      <c r="M22" s="1166">
        <f t="shared" si="2"/>
        <v>4028855</v>
      </c>
      <c r="N22" s="1166"/>
      <c r="O22" s="320">
        <f t="array" ref="O22">INDEX(foodPickups,numericItinerary(itineraryNumber),D22-1)</f>
        <v>0</v>
      </c>
      <c r="P22" s="1167" t="str">
        <f t="array" ref="P22">getUS64crossingdirection(itineraryNumber,D22)</f>
        <v/>
      </c>
      <c r="Q22" s="1167"/>
      <c r="R22" s="1167"/>
      <c r="S22" s="321"/>
      <c r="T22" s="51"/>
      <c r="U22" s="51"/>
      <c r="V22" s="51"/>
      <c r="W22" s="301"/>
      <c r="X22" s="672">
        <f>INT(K22)</f>
        <v>8423</v>
      </c>
      <c r="Y22" s="672">
        <f t="shared" si="12"/>
        <v>446</v>
      </c>
      <c r="Z22" s="673">
        <f t="shared" si="13"/>
        <v>45822</v>
      </c>
      <c r="AA22" s="171" t="str" cm="1">
        <f t="array" ref="AA22">INDEX({"Sunday","Monday","Tuesday","Wednesday","Thursday","Friday","Saturday"},WEEKDAY(Z22))</f>
        <v>Saturday</v>
      </c>
      <c r="AB22" s="171" t="s">
        <v>129</v>
      </c>
      <c r="AC22" s="672" t="str">
        <f t="shared" si="6"/>
        <v>Trail</v>
      </c>
      <c r="AD22" s="672" t="str">
        <f t="shared" si="7"/>
        <v/>
      </c>
      <c r="AE22" s="672" t="str">
        <f t="shared" si="8"/>
        <v/>
      </c>
      <c r="AF22" s="672" t="str">
        <f t="shared" si="9"/>
        <v/>
      </c>
      <c r="AG22" s="672" t="str">
        <f t="shared" si="10"/>
        <v/>
      </c>
      <c r="AH22" s="171" t="str">
        <f t="shared" si="4"/>
        <v>South</v>
      </c>
    </row>
    <row r="23" spans="1:34" ht="19.5" customHeight="1" x14ac:dyDescent="0.2">
      <c r="B23" s="1165" t="str">
        <f t="shared" si="5"/>
        <v>Sunday (6/15/2025)</v>
      </c>
      <c r="C23" s="1165"/>
      <c r="D23" s="290">
        <f t="shared" si="11"/>
        <v>8</v>
      </c>
      <c r="E23" s="1165" t="str">
        <f t="array" ref="E23">getCampWithInfo(AB23,AC23,AD23,AE23,AF23,AG23)</f>
        <v>URRACA</v>
      </c>
      <c r="F23" s="1165"/>
      <c r="G23" s="1165"/>
      <c r="H23" s="1165"/>
      <c r="I23" s="1165"/>
      <c r="J23" s="1165"/>
      <c r="K23" s="290" t="str">
        <f t="shared" si="0"/>
        <v>7,968</v>
      </c>
      <c r="L23" s="317">
        <f t="shared" si="1"/>
        <v>500851</v>
      </c>
      <c r="M23" s="1166">
        <f t="shared" si="2"/>
        <v>4029314</v>
      </c>
      <c r="N23" s="1166"/>
      <c r="O23" s="320">
        <f t="array" ref="O23">INDEX(foodPickups,numericItinerary(itineraryNumber),D23-1)</f>
        <v>0</v>
      </c>
      <c r="P23" s="1167" t="str">
        <f t="array" ref="P23">getUS64crossingdirection(itineraryNumber,D23)</f>
        <v/>
      </c>
      <c r="Q23" s="1167"/>
      <c r="R23" s="1167"/>
      <c r="S23" s="321"/>
      <c r="T23" s="51"/>
      <c r="U23" s="51"/>
      <c r="V23" s="51"/>
      <c r="W23" s="301"/>
      <c r="X23" s="672">
        <f t="shared" si="3"/>
        <v>7968</v>
      </c>
      <c r="Y23" s="672">
        <f t="shared" si="12"/>
        <v>-455</v>
      </c>
      <c r="Z23" s="673">
        <f t="shared" si="13"/>
        <v>45823</v>
      </c>
      <c r="AA23" s="171" t="str" cm="1">
        <f t="array" ref="AA23">INDEX({"Sunday","Monday","Tuesday","Wednesday","Thursday","Friday","Saturday"},WEEKDAY(Z23))</f>
        <v>Sunday</v>
      </c>
      <c r="AB23" s="171" t="s">
        <v>110</v>
      </c>
      <c r="AC23" s="672" t="str">
        <f t="shared" si="6"/>
        <v>Staff</v>
      </c>
      <c r="AD23" s="672" t="str">
        <f t="shared" si="7"/>
        <v/>
      </c>
      <c r="AE23" s="672" t="str">
        <f t="shared" si="8"/>
        <v/>
      </c>
      <c r="AF23" s="672" t="str">
        <f t="shared" si="9"/>
        <v/>
      </c>
      <c r="AG23" s="672" t="str">
        <f t="shared" si="10"/>
        <v/>
      </c>
      <c r="AH23" s="171" t="str">
        <f t="shared" si="4"/>
        <v>South</v>
      </c>
    </row>
    <row r="24" spans="1:34" ht="19.5" customHeight="1" x14ac:dyDescent="0.2">
      <c r="B24" s="1165" t="str">
        <f t="shared" si="5"/>
        <v>Monday (6/16/2025)</v>
      </c>
      <c r="C24" s="1165"/>
      <c r="D24" s="290">
        <f t="shared" si="11"/>
        <v>9</v>
      </c>
      <c r="E24" s="1165" t="str">
        <f t="array" ref="E24">getCampWithInfo(AB24,AC24,AD24,AE24,AF24,AG24)</f>
        <v>Camping HQ</v>
      </c>
      <c r="F24" s="1165"/>
      <c r="G24" s="1165"/>
      <c r="H24" s="1165"/>
      <c r="I24" s="1165"/>
      <c r="J24" s="1165"/>
      <c r="K24" s="290" t="str">
        <f t="shared" si="0"/>
        <v>6,696</v>
      </c>
      <c r="L24" s="317">
        <f t="shared" si="1"/>
        <v>503848</v>
      </c>
      <c r="M24" s="1166">
        <f t="shared" si="2"/>
        <v>4034364</v>
      </c>
      <c r="N24" s="1166"/>
      <c r="O24" s="320">
        <f t="array" ref="O24">INDEX(foodPickups,numericItinerary(itineraryNumber),D24-1)</f>
        <v>0</v>
      </c>
      <c r="P24" s="1167" t="str">
        <f t="array" ref="P24">getUS64crossingdirection(itineraryNumber,D24)</f>
        <v/>
      </c>
      <c r="Q24" s="1167"/>
      <c r="R24" s="1167"/>
      <c r="S24" s="321"/>
      <c r="T24" s="51"/>
      <c r="U24" s="51"/>
      <c r="V24" s="51"/>
      <c r="W24" s="301"/>
      <c r="X24" s="672">
        <f t="shared" si="3"/>
        <v>6696</v>
      </c>
      <c r="Y24" s="672">
        <f t="shared" si="12"/>
        <v>-1272</v>
      </c>
      <c r="Z24" s="673">
        <f t="shared" si="13"/>
        <v>45824</v>
      </c>
      <c r="AA24" s="171" t="str" cm="1">
        <f t="array" ref="AA24">INDEX({"Sunday","Monday","Tuesday","Wednesday","Thursday","Friday","Saturday"},WEEKDAY(Z24))</f>
        <v>Monday</v>
      </c>
      <c r="AB24" s="171" t="s">
        <v>367</v>
      </c>
      <c r="AC24" s="672" t="str">
        <f t="shared" si="6"/>
        <v>Trail</v>
      </c>
      <c r="AD24" s="672" t="str">
        <f t="shared" si="7"/>
        <v/>
      </c>
      <c r="AE24" s="672" t="str">
        <f t="shared" si="8"/>
        <v/>
      </c>
      <c r="AF24" s="672" t="str">
        <f t="shared" si="9"/>
        <v/>
      </c>
      <c r="AG24" s="672" t="str">
        <f t="shared" si="10"/>
        <v/>
      </c>
      <c r="AH24" s="171" t="str">
        <f t="shared" si="4"/>
        <v>South</v>
      </c>
    </row>
    <row r="25" spans="1:34" s="316" customFormat="1" ht="25.5" customHeight="1" x14ac:dyDescent="0.2">
      <c r="A25" s="313"/>
      <c r="B25" s="313"/>
      <c r="C25" s="313"/>
      <c r="D25" s="313"/>
      <c r="E25" s="313"/>
      <c r="F25" s="313"/>
      <c r="G25" s="313"/>
      <c r="H25" s="313"/>
      <c r="I25" s="313"/>
      <c r="J25" s="313"/>
      <c r="L25" s="1168" t="s">
        <v>374</v>
      </c>
      <c r="M25" s="1168"/>
      <c r="N25" s="1168"/>
      <c r="O25" s="314"/>
      <c r="P25" s="314"/>
      <c r="Q25" s="314"/>
      <c r="R25" s="314"/>
      <c r="S25" s="314"/>
      <c r="T25" s="314"/>
      <c r="U25" s="314"/>
      <c r="V25" s="314"/>
      <c r="W25" s="315"/>
      <c r="X25" s="171"/>
      <c r="Y25" s="171"/>
      <c r="Z25" s="171"/>
      <c r="AA25" s="305" t="str">
        <f t="array" ref="AA25">getstartendinfo("S",itineraryNumber)</f>
        <v>Zastrow Trailhead</v>
      </c>
      <c r="AB25" s="305" t="s">
        <v>350</v>
      </c>
      <c r="AC25" s="171"/>
      <c r="AD25" s="171"/>
      <c r="AE25" s="171"/>
      <c r="AF25" s="171"/>
      <c r="AG25" s="171"/>
      <c r="AH25" s="171"/>
    </row>
    <row r="26" spans="1:34" ht="6" customHeight="1" x14ac:dyDescent="0.2">
      <c r="A26" s="33"/>
      <c r="B26" s="33"/>
      <c r="C26" s="33"/>
      <c r="D26" s="33"/>
      <c r="E26" s="33"/>
      <c r="F26" s="33"/>
      <c r="G26" s="33"/>
      <c r="H26" s="33"/>
      <c r="I26" s="33"/>
      <c r="J26" s="35"/>
      <c r="K26" s="33"/>
      <c r="L26" s="33"/>
      <c r="AB26" s="172" t="s">
        <v>269</v>
      </c>
      <c r="AD26" s="235"/>
    </row>
    <row r="27" spans="1:34" x14ac:dyDescent="0.2">
      <c r="A27" s="33"/>
      <c r="B27" s="33"/>
      <c r="C27" s="33"/>
      <c r="D27" s="33"/>
      <c r="E27" s="33"/>
      <c r="F27" s="33"/>
      <c r="G27" s="33"/>
      <c r="H27" s="33"/>
      <c r="I27" s="33"/>
      <c r="J27" s="35"/>
      <c r="K27" s="33"/>
      <c r="L27" s="33"/>
      <c r="AC27" s="235"/>
      <c r="AD27" s="235"/>
      <c r="AE27" s="235"/>
      <c r="AF27" s="235"/>
    </row>
    <row r="28" spans="1:34" x14ac:dyDescent="0.2">
      <c r="A28" s="33"/>
      <c r="B28" s="33"/>
      <c r="C28" s="33"/>
      <c r="D28" s="33"/>
      <c r="E28" s="33"/>
      <c r="F28" s="33"/>
      <c r="G28" s="33"/>
      <c r="H28" s="33"/>
      <c r="I28" s="33"/>
      <c r="J28" s="35"/>
      <c r="K28" s="33"/>
      <c r="L28" s="33"/>
    </row>
    <row r="29" spans="1:34" x14ac:dyDescent="0.2">
      <c r="A29" s="33"/>
      <c r="B29" s="33"/>
      <c r="C29" s="33"/>
      <c r="D29" s="33"/>
      <c r="E29" s="33"/>
      <c r="F29" s="33"/>
      <c r="G29" s="33"/>
      <c r="H29" s="33"/>
      <c r="I29" s="33"/>
      <c r="J29" s="35"/>
      <c r="K29" s="33"/>
      <c r="L29" s="33"/>
    </row>
    <row r="30" spans="1:34" ht="25.5" customHeight="1" x14ac:dyDescent="0.2">
      <c r="A30" s="33"/>
      <c r="B30" s="33"/>
      <c r="C30" s="33"/>
      <c r="D30" s="33"/>
      <c r="E30" s="33"/>
      <c r="F30" s="33"/>
      <c r="G30" s="33"/>
      <c r="H30" s="33"/>
      <c r="I30" s="33"/>
      <c r="J30" s="35"/>
      <c r="K30" s="33"/>
      <c r="L30" s="33"/>
    </row>
    <row r="31" spans="1:34" x14ac:dyDescent="0.2">
      <c r="A31" s="33"/>
      <c r="B31" s="33"/>
      <c r="C31" s="33"/>
      <c r="D31" s="33"/>
      <c r="E31" s="33"/>
      <c r="F31" s="33"/>
      <c r="G31" s="33"/>
      <c r="H31" s="33"/>
      <c r="I31" s="33"/>
      <c r="J31" s="35"/>
      <c r="K31" s="33"/>
      <c r="L31" s="33"/>
    </row>
    <row r="32" spans="1:34" x14ac:dyDescent="0.2">
      <c r="A32" s="33"/>
      <c r="B32" s="33"/>
      <c r="C32" s="33"/>
      <c r="D32" s="33"/>
      <c r="E32" s="33"/>
      <c r="F32" s="33"/>
      <c r="G32" s="33"/>
      <c r="H32" s="33"/>
      <c r="I32" s="33"/>
      <c r="J32" s="35"/>
      <c r="K32" s="33"/>
      <c r="L32" s="33"/>
    </row>
    <row r="33" spans="1:12" x14ac:dyDescent="0.2">
      <c r="A33" s="33"/>
      <c r="B33" s="33"/>
      <c r="C33" s="33"/>
      <c r="D33" s="33"/>
      <c r="E33" s="33"/>
      <c r="F33" s="33"/>
      <c r="G33" s="33"/>
      <c r="H33" s="33"/>
      <c r="I33" s="33"/>
      <c r="J33" s="35"/>
      <c r="K33" s="33"/>
      <c r="L33" s="33"/>
    </row>
    <row r="34" spans="1:12" x14ac:dyDescent="0.2">
      <c r="A34" s="33"/>
      <c r="B34" s="33"/>
      <c r="C34" s="33"/>
      <c r="D34" s="33"/>
      <c r="E34" s="33"/>
      <c r="F34" s="33"/>
      <c r="G34" s="33"/>
      <c r="H34" s="33"/>
      <c r="I34" s="33"/>
      <c r="J34" s="35"/>
      <c r="K34" s="33"/>
      <c r="L34" s="33"/>
    </row>
    <row r="35" spans="1:12" x14ac:dyDescent="0.2">
      <c r="A35" s="33"/>
      <c r="B35" s="33"/>
      <c r="C35" s="33"/>
      <c r="D35" s="33"/>
      <c r="E35" s="33"/>
      <c r="F35" s="33"/>
      <c r="G35" s="33"/>
      <c r="H35" s="33"/>
      <c r="I35" s="33"/>
      <c r="J35" s="33"/>
      <c r="K35" s="33"/>
      <c r="L35" s="33"/>
    </row>
    <row r="36" spans="1:12" x14ac:dyDescent="0.2">
      <c r="A36" s="33"/>
      <c r="B36" s="33"/>
      <c r="C36" s="33"/>
      <c r="D36" s="33"/>
      <c r="E36" s="33"/>
      <c r="F36" s="33"/>
      <c r="G36" s="33"/>
      <c r="H36" s="33"/>
      <c r="I36" s="33"/>
      <c r="J36" s="33"/>
      <c r="K36" s="33"/>
      <c r="L36" s="33"/>
    </row>
    <row r="37" spans="1:12" x14ac:dyDescent="0.2">
      <c r="A37" s="33"/>
      <c r="B37" s="33"/>
      <c r="C37" s="33"/>
      <c r="D37" s="33"/>
      <c r="E37" s="33"/>
      <c r="F37" s="33"/>
      <c r="G37" s="33"/>
      <c r="H37" s="33"/>
      <c r="I37" s="33"/>
      <c r="J37" s="33"/>
      <c r="K37" s="33"/>
      <c r="L37" s="33"/>
    </row>
    <row r="38" spans="1:12" x14ac:dyDescent="0.2">
      <c r="A38" s="33"/>
      <c r="B38" s="33"/>
      <c r="C38" s="33"/>
      <c r="D38" s="33"/>
      <c r="E38" s="33"/>
      <c r="F38" s="33"/>
      <c r="G38" s="33"/>
      <c r="H38" s="33"/>
      <c r="I38" s="33"/>
      <c r="J38" s="33"/>
      <c r="K38" s="33"/>
      <c r="L38" s="33"/>
    </row>
    <row r="39" spans="1:12" x14ac:dyDescent="0.2">
      <c r="A39" s="33"/>
      <c r="B39" s="33"/>
      <c r="C39" s="33"/>
      <c r="D39" s="33"/>
      <c r="E39" s="33"/>
      <c r="F39" s="33"/>
      <c r="G39" s="33"/>
      <c r="H39" s="33"/>
      <c r="I39" s="33"/>
      <c r="J39" s="33"/>
      <c r="K39" s="33"/>
      <c r="L39" s="33"/>
    </row>
    <row r="40" spans="1:12" x14ac:dyDescent="0.2">
      <c r="A40" s="33"/>
      <c r="B40" s="33"/>
      <c r="C40" s="33"/>
      <c r="D40" s="33"/>
      <c r="E40" s="33"/>
      <c r="F40" s="33"/>
      <c r="G40" s="33"/>
      <c r="H40" s="33"/>
      <c r="I40" s="33"/>
      <c r="J40" s="33"/>
      <c r="K40" s="33"/>
      <c r="L40" s="33"/>
    </row>
    <row r="44" spans="1:12" ht="81.75" customHeight="1" x14ac:dyDescent="0.2"/>
    <row r="45" spans="1:12" ht="29.25" customHeight="1" x14ac:dyDescent="0.2"/>
  </sheetData>
  <sheetProtection selectLockedCells="1"/>
  <mergeCells count="62">
    <mergeCell ref="E20:J20"/>
    <mergeCell ref="M20:N20"/>
    <mergeCell ref="P20:R20"/>
    <mergeCell ref="P16:R16"/>
    <mergeCell ref="P17:R17"/>
    <mergeCell ref="P23:R23"/>
    <mergeCell ref="P18:R18"/>
    <mergeCell ref="P19:R19"/>
    <mergeCell ref="P21:R21"/>
    <mergeCell ref="K6:L6"/>
    <mergeCell ref="O5:Q5"/>
    <mergeCell ref="O6:Q6"/>
    <mergeCell ref="P15:R15"/>
    <mergeCell ref="B12:S12"/>
    <mergeCell ref="B13:S13"/>
    <mergeCell ref="E8:F8"/>
    <mergeCell ref="E9:F9"/>
    <mergeCell ref="M15:N15"/>
    <mergeCell ref="K14:N14"/>
    <mergeCell ref="K8:O8"/>
    <mergeCell ref="B16:C16"/>
    <mergeCell ref="B17:C17"/>
    <mergeCell ref="M17:N17"/>
    <mergeCell ref="B23:C23"/>
    <mergeCell ref="B24:C24"/>
    <mergeCell ref="M16:N16"/>
    <mergeCell ref="B18:C18"/>
    <mergeCell ref="E18:J18"/>
    <mergeCell ref="M18:N18"/>
    <mergeCell ref="B19:C19"/>
    <mergeCell ref="E19:J19"/>
    <mergeCell ref="M19:N19"/>
    <mergeCell ref="B21:C21"/>
    <mergeCell ref="E21:J21"/>
    <mergeCell ref="M21:N21"/>
    <mergeCell ref="B20:C20"/>
    <mergeCell ref="A1:S1"/>
    <mergeCell ref="E16:J16"/>
    <mergeCell ref="E17:J17"/>
    <mergeCell ref="A6:B6"/>
    <mergeCell ref="A7:B7"/>
    <mergeCell ref="A8:B8"/>
    <mergeCell ref="A9:B9"/>
    <mergeCell ref="A10:B10"/>
    <mergeCell ref="A11:B11"/>
    <mergeCell ref="E5:F5"/>
    <mergeCell ref="E6:F6"/>
    <mergeCell ref="E15:I15"/>
    <mergeCell ref="D2:S2"/>
    <mergeCell ref="E7:F7"/>
    <mergeCell ref="D10:G11"/>
    <mergeCell ref="K5:L5"/>
    <mergeCell ref="B22:C22"/>
    <mergeCell ref="E22:J22"/>
    <mergeCell ref="M22:N22"/>
    <mergeCell ref="P22:R22"/>
    <mergeCell ref="L25:N25"/>
    <mergeCell ref="M23:N23"/>
    <mergeCell ref="M24:N24"/>
    <mergeCell ref="E23:J23"/>
    <mergeCell ref="E24:J24"/>
    <mergeCell ref="P24:R24"/>
  </mergeCells>
  <phoneticPr fontId="70" type="noConversion"/>
  <printOptions horizontalCentered="1"/>
  <pageMargins left="0.3" right="0.3" top="0.97" bottom="0.55000000000000004" header="0.49" footer="0.34"/>
  <pageSetup scale="64" orientation="portrait" r:id="rId1"/>
  <headerFooter scaleWithDoc="0">
    <oddHeader>&amp;C&amp;"Arial,Bold"&amp;12Philmont Scout Ranch
&amp;10Scouting USA</oddHeader>
    <oddFooter>&amp;L&amp;7&amp;F!&amp;A&amp;R&amp;7&amp;D &amp;T</oddFooter>
  </headerFooter>
  <drawing r:id="rId2"/>
  <legacyDrawing r:id="rId3"/>
  <controls>
    <mc:AlternateContent xmlns:mc="http://schemas.openxmlformats.org/markup-compatibility/2006">
      <mc:Choice Requires="x14">
        <control shapeId="23555" r:id="rId4" name="btnHide">
          <controlPr defaultSize="0" autoLine="0" autoPict="0" r:id="rId5">
            <anchor moveWithCells="1">
              <from>
                <xdr:col>26</xdr:col>
                <xdr:colOff>19050</xdr:colOff>
                <xdr:row>0</xdr:row>
                <xdr:rowOff>19050</xdr:rowOff>
              </from>
              <to>
                <xdr:col>26</xdr:col>
                <xdr:colOff>838200</xdr:colOff>
                <xdr:row>1</xdr:row>
                <xdr:rowOff>28575</xdr:rowOff>
              </to>
            </anchor>
          </controlPr>
        </control>
      </mc:Choice>
      <mc:Fallback>
        <control shapeId="23555" r:id="rId4" name="btnHide"/>
      </mc:Fallback>
    </mc:AlternateContent>
    <mc:AlternateContent xmlns:mc="http://schemas.openxmlformats.org/markup-compatibility/2006">
      <mc:Choice Requires="x14">
        <control shapeId="23556" r:id="rId6" name="btnUnHideStuff">
          <controlPr defaultSize="0" autoLine="0" r:id="rId7">
            <anchor moveWithCells="1">
              <from>
                <xdr:col>26</xdr:col>
                <xdr:colOff>28575</xdr:colOff>
                <xdr:row>1</xdr:row>
                <xdr:rowOff>104775</xdr:rowOff>
              </from>
              <to>
                <xdr:col>26</xdr:col>
                <xdr:colOff>828675</xdr:colOff>
                <xdr:row>2</xdr:row>
                <xdr:rowOff>142875</xdr:rowOff>
              </to>
            </anchor>
          </controlPr>
        </control>
      </mc:Choice>
      <mc:Fallback>
        <control shapeId="23556" r:id="rId6" name="btnUnHideStuff"/>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993300"/>
    <pageSetUpPr fitToPage="1"/>
  </sheetPr>
  <dimension ref="A1:P66"/>
  <sheetViews>
    <sheetView showGridLines="0" showRowColHeaders="0" zoomScale="70" zoomScaleNormal="70" workbookViewId="0">
      <pane xSplit="2" ySplit="5" topLeftCell="C6" activePane="bottomRight" state="frozen"/>
      <selection activeCell="B14" sqref="B14"/>
      <selection pane="topRight" activeCell="B14" sqref="B14"/>
      <selection pane="bottomLeft" activeCell="B14" sqref="B14"/>
      <selection pane="bottomRight" activeCell="T7" sqref="T7"/>
    </sheetView>
  </sheetViews>
  <sheetFormatPr defaultRowHeight="18" x14ac:dyDescent="0.25"/>
  <cols>
    <col min="1" max="1" width="35.42578125" style="61" customWidth="1"/>
    <col min="2" max="2" width="7.28515625" style="356" customWidth="1"/>
    <col min="3" max="14" width="8" style="70" customWidth="1"/>
    <col min="15" max="15" width="9.140625" style="61"/>
    <col min="16" max="16" width="0" style="61" hidden="1" customWidth="1"/>
    <col min="17" max="16384" width="9.140625" style="61"/>
  </cols>
  <sheetData>
    <row r="1" spans="1:16" ht="22.5" customHeight="1" x14ac:dyDescent="0.2">
      <c r="A1" s="912" t="s">
        <v>312</v>
      </c>
      <c r="B1" s="1201" t="s">
        <v>492</v>
      </c>
      <c r="C1" s="928" t="str">
        <f t="array" ref="C1">INDEX(itineraryNumbers,COLUMN()-2)</f>
        <v>9-1</v>
      </c>
      <c r="D1" s="915" t="str">
        <f t="array" ref="D1">INDEX(itineraryNumbers,COLUMN()-2)</f>
        <v>9-2</v>
      </c>
      <c r="E1" s="915" t="str">
        <f t="array" ref="E1">INDEX(itineraryNumbers,COLUMN()-2)</f>
        <v>9-3</v>
      </c>
      <c r="F1" s="915" t="str">
        <f t="array" ref="F1">INDEX(itineraryNumbers,COLUMN()-2)</f>
        <v>9-4</v>
      </c>
      <c r="G1" s="915" t="str">
        <f t="array" ref="G1">INDEX(itineraryNumbers,COLUMN()-2)</f>
        <v>9-5</v>
      </c>
      <c r="H1" s="915" t="str">
        <f t="array" ref="H1">INDEX(itineraryNumbers,COLUMN()-2)</f>
        <v>9-6</v>
      </c>
      <c r="I1" s="915" t="str">
        <f t="array" ref="I1">INDEX(itineraryNumbers,COLUMN()-2)</f>
        <v>9-7</v>
      </c>
      <c r="J1" s="915" t="str">
        <f t="array" ref="J1">INDEX(itineraryNumbers,COLUMN()-2)</f>
        <v>9-8</v>
      </c>
      <c r="K1" s="915" t="str">
        <f t="array" ref="K1">INDEX(itineraryNumbers,COLUMN()-2)</f>
        <v>9-9</v>
      </c>
      <c r="L1" s="915" t="str">
        <f t="array" ref="L1">INDEX(itineraryNumbers,COLUMN()-2)</f>
        <v>9-10</v>
      </c>
      <c r="M1" s="915" t="str">
        <f t="array" ref="M1">INDEX(itineraryNumbers,COLUMN()-2)</f>
        <v>9-11</v>
      </c>
      <c r="N1" s="916" t="str">
        <f t="array" ref="N1">INDEX(itineraryNumbers,COLUMN()-2)</f>
        <v>9-12</v>
      </c>
      <c r="P1" s="332" t="s">
        <v>336</v>
      </c>
    </row>
    <row r="2" spans="1:16" s="334" customFormat="1" ht="22.5" customHeight="1" x14ac:dyDescent="0.2">
      <c r="A2" s="658" t="s">
        <v>313</v>
      </c>
      <c r="B2" s="1202"/>
      <c r="C2" s="655" t="str">
        <f t="array" ref="C2">INDEX(classification,numericItinerary(C1))</f>
        <v>C</v>
      </c>
      <c r="D2" s="656" t="str">
        <f t="array" ref="D2">INDEX(classification,numericItinerary(D1))</f>
        <v>C</v>
      </c>
      <c r="E2" s="656" t="str">
        <f t="array" ref="E2">INDEX(classification,numericItinerary(E1))</f>
        <v>C</v>
      </c>
      <c r="F2" s="656" t="str">
        <f t="array" ref="F2">INDEX(classification,numericItinerary(F1))</f>
        <v>R</v>
      </c>
      <c r="G2" s="656" t="str">
        <f t="array" ref="G2">INDEX(classification,numericItinerary(G1))</f>
        <v>R</v>
      </c>
      <c r="H2" s="656" t="str">
        <f t="array" ref="H2">INDEX(classification,numericItinerary(H1))</f>
        <v>R</v>
      </c>
      <c r="I2" s="656" t="str">
        <f t="array" ref="I2">INDEX(classification,numericItinerary(I1))</f>
        <v>S</v>
      </c>
      <c r="J2" s="656" t="str">
        <f t="array" ref="J2">INDEX(classification,numericItinerary(J1))</f>
        <v>S</v>
      </c>
      <c r="K2" s="656" t="str">
        <f t="array" ref="K2">INDEX(classification,numericItinerary(K1))</f>
        <v>S</v>
      </c>
      <c r="L2" s="656" t="str">
        <f t="array" ref="L2">INDEX(classification,numericItinerary(L1))</f>
        <v>SS</v>
      </c>
      <c r="M2" s="656" t="str">
        <f t="array" ref="M2">INDEX(classification,numericItinerary(M1))</f>
        <v>SS</v>
      </c>
      <c r="N2" s="657" t="str">
        <f t="array" ref="N2">INDEX(classification,numericItinerary(N1))</f>
        <v>SS</v>
      </c>
      <c r="O2" s="68"/>
      <c r="P2" s="333"/>
    </row>
    <row r="3" spans="1:16" ht="22.5" customHeight="1" x14ac:dyDescent="0.2">
      <c r="A3" s="913" t="s">
        <v>314</v>
      </c>
      <c r="B3" s="1202"/>
      <c r="C3" s="927">
        <f t="array" ref="C3">INDEX(distance,numericItinerary(C1))</f>
        <v>40</v>
      </c>
      <c r="D3" s="917">
        <f t="array" ref="D3">INDEX(distance,numericItinerary(D1))</f>
        <v>36</v>
      </c>
      <c r="E3" s="917">
        <f t="array" ref="E3">INDEX(distance,numericItinerary(E1))</f>
        <v>41</v>
      </c>
      <c r="F3" s="917">
        <f t="array" ref="F3">INDEX(distance,numericItinerary(F1))</f>
        <v>42</v>
      </c>
      <c r="G3" s="917">
        <f t="array" ref="G3">INDEX(distance,numericItinerary(G1))</f>
        <v>36</v>
      </c>
      <c r="H3" s="917">
        <f t="array" ref="H3">INDEX(distance,numericItinerary(H1))</f>
        <v>62</v>
      </c>
      <c r="I3" s="917">
        <f t="array" ref="I3">INDEX(distance,numericItinerary(I1))</f>
        <v>42</v>
      </c>
      <c r="J3" s="917">
        <f t="array" ref="J3">INDEX(distance,numericItinerary(J1))</f>
        <v>44</v>
      </c>
      <c r="K3" s="917">
        <f t="array" ref="K3">INDEX(distance,numericItinerary(K1))</f>
        <v>42</v>
      </c>
      <c r="L3" s="917">
        <f t="array" ref="L3">INDEX(distance,numericItinerary(L1))</f>
        <v>53</v>
      </c>
      <c r="M3" s="917">
        <f t="array" ref="M3">INDEX(distance,numericItinerary(M1))</f>
        <v>53</v>
      </c>
      <c r="N3" s="918">
        <f t="array" ref="N3">INDEX(distance,numericItinerary(N1))</f>
        <v>57</v>
      </c>
      <c r="O3" s="68"/>
      <c r="P3" s="175">
        <f>SUM(C3:N3)</f>
        <v>548</v>
      </c>
    </row>
    <row r="4" spans="1:16" ht="22.5" customHeight="1" x14ac:dyDescent="0.2">
      <c r="A4" s="658" t="s">
        <v>3</v>
      </c>
      <c r="B4" s="1202"/>
      <c r="C4" s="655" cm="1">
        <f t="array" ref="C4">countcamps(itineraryTrail,numericItinerary(C$1))</f>
        <v>5</v>
      </c>
      <c r="D4" s="656" cm="1">
        <f t="array" ref="D4">countcamps(itineraryTrail,numericItinerary(D$1))</f>
        <v>7</v>
      </c>
      <c r="E4" s="656" cm="1">
        <f t="array" ref="E4">countcamps(itineraryTrail,numericItinerary(E$1))</f>
        <v>8</v>
      </c>
      <c r="F4" s="656" cm="1">
        <f t="array" ref="F4">countcamps(itineraryTrail,numericItinerary(F$1))</f>
        <v>6</v>
      </c>
      <c r="G4" s="656" cm="1">
        <f t="array" ref="G4">countcamps(itineraryTrail,numericItinerary(G$1))</f>
        <v>8</v>
      </c>
      <c r="H4" s="656" cm="1">
        <f t="array" ref="H4">countcamps(itineraryTrail,numericItinerary(H$1))</f>
        <v>5</v>
      </c>
      <c r="I4" s="656" cm="1">
        <f t="array" ref="I4">countcamps(itineraryTrail,numericItinerary(I$1))</f>
        <v>6</v>
      </c>
      <c r="J4" s="656" cm="1">
        <f t="array" ref="J4">countcamps(itineraryTrail,numericItinerary(J$1))</f>
        <v>7</v>
      </c>
      <c r="K4" s="656" cm="1">
        <f t="array" ref="K4">countcamps(itineraryTrail,numericItinerary(K$1))</f>
        <v>7</v>
      </c>
      <c r="L4" s="656" cm="1">
        <f t="array" ref="L4">countcamps(itineraryTrail,numericItinerary(L$1))</f>
        <v>7</v>
      </c>
      <c r="M4" s="656" cm="1">
        <f t="array" ref="M4">countcamps(itineraryTrail,numericItinerary(M$1))</f>
        <v>9</v>
      </c>
      <c r="N4" s="657" cm="1">
        <f t="array" ref="N4">countcamps(itineraryTrail,numericItinerary(N$1))</f>
        <v>7</v>
      </c>
      <c r="O4" s="68"/>
      <c r="P4" s="175">
        <f>SUM(C4:N4)</f>
        <v>82</v>
      </c>
    </row>
    <row r="5" spans="1:16" ht="22.5" customHeight="1" thickBot="1" x14ac:dyDescent="0.25">
      <c r="A5" s="914" t="s">
        <v>4</v>
      </c>
      <c r="B5" s="1203"/>
      <c r="C5" s="926" cm="1">
        <f t="array" ref="C5">countcamps(itineraryStaff,numericItinerary(C$1))</f>
        <v>5</v>
      </c>
      <c r="D5" s="919" cm="1">
        <f t="array" ref="D5">countcamps(itineraryStaff,numericItinerary(D$1))</f>
        <v>3</v>
      </c>
      <c r="E5" s="919" cm="1">
        <f t="array" ref="E5">countcamps(itineraryStaff,numericItinerary(E$1))</f>
        <v>2</v>
      </c>
      <c r="F5" s="919" cm="1">
        <f t="array" ref="F5">countcamps(itineraryStaff,numericItinerary(F$1))</f>
        <v>4</v>
      </c>
      <c r="G5" s="919" cm="1">
        <f t="array" ref="G5">countcamps(itineraryStaff,numericItinerary(G$1))</f>
        <v>2</v>
      </c>
      <c r="H5" s="919" cm="1">
        <f t="array" ref="H5">countcamps(itineraryStaff,numericItinerary(H$1))</f>
        <v>5</v>
      </c>
      <c r="I5" s="919" cm="1">
        <f t="array" ref="I5">countcamps(itineraryStaff,numericItinerary(I$1))</f>
        <v>4</v>
      </c>
      <c r="J5" s="919" cm="1">
        <f t="array" ref="J5">countcamps(itineraryStaff,numericItinerary(J$1))</f>
        <v>3</v>
      </c>
      <c r="K5" s="919" cm="1">
        <f t="array" ref="K5">countcamps(itineraryStaff,numericItinerary(K$1))</f>
        <v>3</v>
      </c>
      <c r="L5" s="919" cm="1">
        <f t="array" ref="L5">countcamps(itineraryStaff,numericItinerary(L$1))</f>
        <v>3</v>
      </c>
      <c r="M5" s="919" cm="1">
        <f t="array" ref="M5">countcamps(itineraryStaff,numericItinerary(M$1))</f>
        <v>1</v>
      </c>
      <c r="N5" s="920" cm="1">
        <f t="array" ref="N5">countcamps(itineraryStaff,numericItinerary(N$1))</f>
        <v>3</v>
      </c>
      <c r="O5" s="68"/>
      <c r="P5" s="175">
        <f>SUM(C5:N5)</f>
        <v>38</v>
      </c>
    </row>
    <row r="6" spans="1:16" s="68" customFormat="1" ht="22.5" customHeight="1" x14ac:dyDescent="0.2">
      <c r="A6" s="176" t="str">
        <f t="array" ref="A6">INDEX(program_table,ROW()-5)</f>
        <v>Climbing: Bouldering Gym</v>
      </c>
      <c r="B6" s="921">
        <f t="shared" ref="B6:B37" si="0">COUNTIF(C6:N6,"X")</f>
        <v>3</v>
      </c>
      <c r="C6" s="653" t="str" cm="1">
        <f t="array" ref="C6">getProgramXref($A6,numericItinerary(C$1))</f>
        <v>x</v>
      </c>
      <c r="D6" s="71" t="str" cm="1">
        <f t="array" ref="D6">getProgramXref($A6,numericItinerary(D$1))</f>
        <v/>
      </c>
      <c r="E6" s="71" t="str" cm="1">
        <f t="array" ref="E6">getProgramXref($A6,numericItinerary(E$1))</f>
        <v>x</v>
      </c>
      <c r="F6" s="71" t="str" cm="1">
        <f t="array" ref="F6">getProgramXref($A6,numericItinerary(F$1))</f>
        <v/>
      </c>
      <c r="G6" s="71" t="str" cm="1">
        <f t="array" ref="G6">getProgramXref($A6,numericItinerary(G$1))</f>
        <v/>
      </c>
      <c r="H6" s="71" t="str" cm="1">
        <f t="array" ref="H6">getProgramXref($A6,numericItinerary(H$1))</f>
        <v/>
      </c>
      <c r="I6" s="71" t="str" cm="1">
        <f t="array" ref="I6">getProgramXref($A6,numericItinerary(I$1))</f>
        <v>x</v>
      </c>
      <c r="J6" s="71" t="str" cm="1">
        <f t="array" ref="J6">getProgramXref($A6,numericItinerary(J$1))</f>
        <v/>
      </c>
      <c r="K6" s="71" t="str" cm="1">
        <f t="array" ref="K6">getProgramXref($A6,numericItinerary(K$1))</f>
        <v/>
      </c>
      <c r="L6" s="71" t="str" cm="1">
        <f t="array" ref="L6">getProgramXref($A6,numericItinerary(L$1))</f>
        <v/>
      </c>
      <c r="M6" s="71" t="str" cm="1">
        <f t="array" ref="M6">getProgramXref($A6,numericItinerary(M$1))</f>
        <v/>
      </c>
      <c r="N6" s="177" t="str" cm="1">
        <f t="array" ref="N6">getProgramXref($A6,numericItinerary(N$1))</f>
        <v/>
      </c>
      <c r="P6" s="175">
        <f t="shared" ref="P6:P37" si="1">COUNTIF(C6:N6,"X")</f>
        <v>3</v>
      </c>
    </row>
    <row r="7" spans="1:16" s="68" customFormat="1" ht="22.5" customHeight="1" x14ac:dyDescent="0.2">
      <c r="A7" s="178" t="str">
        <f t="array" ref="A7">INDEX(program_table,ROW()-5)</f>
        <v>Climbing: Climbing Wall/Tower</v>
      </c>
      <c r="B7" s="922">
        <f t="shared" si="0"/>
        <v>1</v>
      </c>
      <c r="C7" s="653" t="str" cm="1">
        <f t="array" ref="C7">getProgramXref($A7,numericItinerary(C$1))</f>
        <v>x</v>
      </c>
      <c r="D7" s="71" t="str" cm="1">
        <f t="array" ref="D7">getProgramXref($A7,numericItinerary(D$1))</f>
        <v/>
      </c>
      <c r="E7" s="71" t="str" cm="1">
        <f t="array" ref="E7">getProgramXref($A7,numericItinerary(E$1))</f>
        <v/>
      </c>
      <c r="F7" s="71" t="str" cm="1">
        <f t="array" ref="F7">getProgramXref($A7,numericItinerary(F$1))</f>
        <v/>
      </c>
      <c r="G7" s="71" t="str" cm="1">
        <f t="array" ref="G7">getProgramXref($A7,numericItinerary(G$1))</f>
        <v/>
      </c>
      <c r="H7" s="71" t="str" cm="1">
        <f t="array" ref="H7">getProgramXref($A7,numericItinerary(H$1))</f>
        <v/>
      </c>
      <c r="I7" s="71" t="str" cm="1">
        <f t="array" ref="I7">getProgramXref($A7,numericItinerary(I$1))</f>
        <v/>
      </c>
      <c r="J7" s="71" t="str" cm="1">
        <f t="array" ref="J7">getProgramXref($A7,numericItinerary(J$1))</f>
        <v/>
      </c>
      <c r="K7" s="71" t="str" cm="1">
        <f t="array" ref="K7">getProgramXref($A7,numericItinerary(K$1))</f>
        <v/>
      </c>
      <c r="L7" s="72" t="str" cm="1">
        <f t="array" ref="L7">getProgramXref($A7,numericItinerary(L$1))</f>
        <v/>
      </c>
      <c r="M7" s="72" t="str" cm="1">
        <f t="array" ref="M7">getProgramXref($A7,numericItinerary(M$1))</f>
        <v/>
      </c>
      <c r="N7" s="179" t="str" cm="1">
        <f t="array" ref="N7">getProgramXref($A7,numericItinerary(N$1))</f>
        <v/>
      </c>
      <c r="P7" s="175">
        <f t="shared" si="1"/>
        <v>1</v>
      </c>
    </row>
    <row r="8" spans="1:16" s="68" customFormat="1" ht="22.5" customHeight="1" x14ac:dyDescent="0.2">
      <c r="A8" s="178" t="str">
        <f t="array" ref="A8">INDEX(program_table,ROW()-5)</f>
        <v>Climbing: Crate Stacking</v>
      </c>
      <c r="B8" s="922">
        <f t="shared" si="0"/>
        <v>1</v>
      </c>
      <c r="C8" s="653" t="str" cm="1">
        <f t="array" ref="C8">getProgramXref($A8,numericItinerary(C$1))</f>
        <v>x</v>
      </c>
      <c r="D8" s="71" t="str" cm="1">
        <f t="array" ref="D8">getProgramXref($A8,numericItinerary(D$1))</f>
        <v/>
      </c>
      <c r="E8" s="71" t="str" cm="1">
        <f t="array" ref="E8">getProgramXref($A8,numericItinerary(E$1))</f>
        <v/>
      </c>
      <c r="F8" s="71" t="str" cm="1">
        <f t="array" ref="F8">getProgramXref($A8,numericItinerary(F$1))</f>
        <v/>
      </c>
      <c r="G8" s="71" t="str" cm="1">
        <f t="array" ref="G8">getProgramXref($A8,numericItinerary(G$1))</f>
        <v/>
      </c>
      <c r="H8" s="71" t="str" cm="1">
        <f t="array" ref="H8">getProgramXref($A8,numericItinerary(H$1))</f>
        <v/>
      </c>
      <c r="I8" s="71" t="str" cm="1">
        <f t="array" ref="I8">getProgramXref($A8,numericItinerary(I$1))</f>
        <v/>
      </c>
      <c r="J8" s="71" t="str" cm="1">
        <f t="array" ref="J8">getProgramXref($A8,numericItinerary(J$1))</f>
        <v/>
      </c>
      <c r="K8" s="71" t="str" cm="1">
        <f t="array" ref="K8">getProgramXref($A8,numericItinerary(K$1))</f>
        <v/>
      </c>
      <c r="L8" s="72" t="str" cm="1">
        <f t="array" ref="L8">getProgramXref($A8,numericItinerary(L$1))</f>
        <v/>
      </c>
      <c r="M8" s="72" t="str" cm="1">
        <f t="array" ref="M8">getProgramXref($A8,numericItinerary(M$1))</f>
        <v/>
      </c>
      <c r="N8" s="179" t="str" cm="1">
        <f t="array" ref="N8">getProgramXref($A8,numericItinerary(N$1))</f>
        <v/>
      </c>
      <c r="P8" s="175">
        <f t="shared" si="1"/>
        <v>1</v>
      </c>
    </row>
    <row r="9" spans="1:16" s="68" customFormat="1" ht="22.5" customHeight="1" x14ac:dyDescent="0.2">
      <c r="A9" s="178" t="str">
        <f t="array" ref="A9">INDEX(program_table,ROW()-5)</f>
        <v>Climbing: Rock Climbing</v>
      </c>
      <c r="B9" s="922">
        <f t="shared" si="0"/>
        <v>2</v>
      </c>
      <c r="C9" s="654" t="str" cm="1">
        <f t="array" ref="C9">getProgramXref($A9,numericItinerary(C$1))</f>
        <v>x</v>
      </c>
      <c r="D9" s="72" t="str" cm="1">
        <f t="array" ref="D9">getProgramXref($A9,numericItinerary(D$1))</f>
        <v/>
      </c>
      <c r="E9" s="72" t="str" cm="1">
        <f t="array" ref="E9">getProgramXref($A9,numericItinerary(E$1))</f>
        <v/>
      </c>
      <c r="F9" s="72" t="str" cm="1">
        <f t="array" ref="F9">getProgramXref($A9,numericItinerary(F$1))</f>
        <v/>
      </c>
      <c r="G9" s="72" t="str" cm="1">
        <f t="array" ref="G9">getProgramXref($A9,numericItinerary(G$1))</f>
        <v/>
      </c>
      <c r="H9" s="72" t="str" cm="1">
        <f t="array" ref="H9">getProgramXref($A9,numericItinerary(H$1))</f>
        <v/>
      </c>
      <c r="I9" s="72" t="str" cm="1">
        <f t="array" ref="I9">getProgramXref($A9,numericItinerary(I$1))</f>
        <v>x</v>
      </c>
      <c r="J9" s="72" t="str" cm="1">
        <f t="array" ref="J9">getProgramXref($A9,numericItinerary(J$1))</f>
        <v/>
      </c>
      <c r="K9" s="72" t="str" cm="1">
        <f t="array" ref="K9">getProgramXref($A9,numericItinerary(K$1))</f>
        <v/>
      </c>
      <c r="L9" s="72" t="str" cm="1">
        <f t="array" ref="L9">getProgramXref($A9,numericItinerary(L$1))</f>
        <v/>
      </c>
      <c r="M9" s="72" t="str" cm="1">
        <f t="array" ref="M9">getProgramXref($A9,numericItinerary(M$1))</f>
        <v/>
      </c>
      <c r="N9" s="179" t="str" cm="1">
        <f t="array" ref="N9">getProgramXref($A9,numericItinerary(N$1))</f>
        <v/>
      </c>
      <c r="P9" s="175">
        <f t="shared" si="1"/>
        <v>2</v>
      </c>
    </row>
    <row r="10" spans="1:16" s="68" customFormat="1" ht="22.5" customHeight="1" x14ac:dyDescent="0.2">
      <c r="A10" s="178" t="str">
        <f t="array" ref="A10">INDEX(program_table,ROW()-5)</f>
        <v>COPE: High Challenge Course</v>
      </c>
      <c r="B10" s="922">
        <f t="shared" si="0"/>
        <v>2</v>
      </c>
      <c r="C10" s="654" t="str" cm="1">
        <f t="array" ref="C10">getProgramXref($A10,numericItinerary(C$1))</f>
        <v>x</v>
      </c>
      <c r="D10" s="72" t="str" cm="1">
        <f t="array" ref="D10">getProgramXref($A10,numericItinerary(D$1))</f>
        <v/>
      </c>
      <c r="E10" s="72" t="str" cm="1">
        <f t="array" ref="E10">getProgramXref($A10,numericItinerary(E$1))</f>
        <v/>
      </c>
      <c r="F10" s="72" t="str" cm="1">
        <f t="array" ref="F10">getProgramXref($A10,numericItinerary(F$1))</f>
        <v/>
      </c>
      <c r="G10" s="72" t="str" cm="1">
        <f t="array" ref="G10">getProgramXref($A10,numericItinerary(G$1))</f>
        <v/>
      </c>
      <c r="H10" s="72" t="str" cm="1">
        <f t="array" ref="H10">getProgramXref($A10,numericItinerary(H$1))</f>
        <v/>
      </c>
      <c r="I10" s="72" t="str" cm="1">
        <f t="array" ref="I10">getProgramXref($A10,numericItinerary(I$1))</f>
        <v/>
      </c>
      <c r="J10" s="72" t="str" cm="1">
        <f t="array" ref="J10">getProgramXref($A10,numericItinerary(J$1))</f>
        <v>x</v>
      </c>
      <c r="K10" s="72" t="str" cm="1">
        <f t="array" ref="K10">getProgramXref($A10,numericItinerary(K$1))</f>
        <v/>
      </c>
      <c r="L10" s="72" t="str" cm="1">
        <f t="array" ref="L10">getProgramXref($A10,numericItinerary(L$1))</f>
        <v/>
      </c>
      <c r="M10" s="72" t="str" cm="1">
        <f t="array" ref="M10">getProgramXref($A10,numericItinerary(M$1))</f>
        <v/>
      </c>
      <c r="N10" s="179" t="str" cm="1">
        <f t="array" ref="N10">getProgramXref($A10,numericItinerary(N$1))</f>
        <v/>
      </c>
      <c r="P10" s="175">
        <f t="shared" si="1"/>
        <v>2</v>
      </c>
    </row>
    <row r="11" spans="1:16" s="68" customFormat="1" ht="22.5" customHeight="1" x14ac:dyDescent="0.2">
      <c r="A11" s="178" t="str">
        <f t="array" ref="A11">INDEX(program_table,ROW()-5)</f>
        <v>COPE: Initiative Games</v>
      </c>
      <c r="B11" s="922">
        <f t="shared" si="0"/>
        <v>4</v>
      </c>
      <c r="C11" s="654" t="str" cm="1">
        <f t="array" ref="C11">getProgramXref($A11,numericItinerary(C$1))</f>
        <v>x</v>
      </c>
      <c r="D11" s="72" t="str" cm="1">
        <f t="array" ref="D11">getProgramXref($A11,numericItinerary(D$1))</f>
        <v/>
      </c>
      <c r="E11" s="72" t="str" cm="1">
        <f t="array" ref="E11">getProgramXref($A11,numericItinerary(E$1))</f>
        <v/>
      </c>
      <c r="F11" s="72" t="str" cm="1">
        <f t="array" ref="F11">getProgramXref($A11,numericItinerary(F$1))</f>
        <v/>
      </c>
      <c r="G11" s="72" t="str" cm="1">
        <f t="array" ref="G11">getProgramXref($A11,numericItinerary(G$1))</f>
        <v>x</v>
      </c>
      <c r="H11" s="72" t="str" cm="1">
        <f t="array" ref="H11">getProgramXref($A11,numericItinerary(H$1))</f>
        <v>x</v>
      </c>
      <c r="I11" s="72" t="str" cm="1">
        <f t="array" ref="I11">getProgramXref($A11,numericItinerary(I$1))</f>
        <v/>
      </c>
      <c r="J11" s="72" t="str" cm="1">
        <f t="array" ref="J11">getProgramXref($A11,numericItinerary(J$1))</f>
        <v>x</v>
      </c>
      <c r="K11" s="72" t="str" cm="1">
        <f t="array" ref="K11">getProgramXref($A11,numericItinerary(K$1))</f>
        <v/>
      </c>
      <c r="L11" s="72" t="str" cm="1">
        <f t="array" ref="L11">getProgramXref($A11,numericItinerary(L$1))</f>
        <v/>
      </c>
      <c r="M11" s="72" t="str" cm="1">
        <f t="array" ref="M11">getProgramXref($A11,numericItinerary(M$1))</f>
        <v/>
      </c>
      <c r="N11" s="179" t="str" cm="1">
        <f t="array" ref="N11">getProgramXref($A11,numericItinerary(N$1))</f>
        <v/>
      </c>
      <c r="P11" s="175">
        <f t="shared" si="1"/>
        <v>4</v>
      </c>
    </row>
    <row r="12" spans="1:16" s="68" customFormat="1" ht="22.5" customHeight="1" x14ac:dyDescent="0.2">
      <c r="A12" s="178" t="str">
        <f t="array" ref="A12">INDEX(program_table,ROW()-5)</f>
        <v>COPE: Low Challenge Course</v>
      </c>
      <c r="B12" s="922">
        <f t="shared" si="0"/>
        <v>5</v>
      </c>
      <c r="C12" s="654" t="str" cm="1">
        <f t="array" ref="C12">getProgramXref($A12,numericItinerary(C$1))</f>
        <v>x</v>
      </c>
      <c r="D12" s="72" t="str" cm="1">
        <f t="array" ref="D12">getProgramXref($A12,numericItinerary(D$1))</f>
        <v/>
      </c>
      <c r="E12" s="72" t="str" cm="1">
        <f t="array" ref="E12">getProgramXref($A12,numericItinerary(E$1))</f>
        <v/>
      </c>
      <c r="F12" s="72" t="str" cm="1">
        <f t="array" ref="F12">getProgramXref($A12,numericItinerary(F$1))</f>
        <v/>
      </c>
      <c r="G12" s="72" t="str" cm="1">
        <f t="array" ref="G12">getProgramXref($A12,numericItinerary(G$1))</f>
        <v>x</v>
      </c>
      <c r="H12" s="72" t="str" cm="1">
        <f t="array" ref="H12">getProgramXref($A12,numericItinerary(H$1))</f>
        <v>x</v>
      </c>
      <c r="I12" s="72" t="str" cm="1">
        <f t="array" ref="I12">getProgramXref($A12,numericItinerary(I$1))</f>
        <v/>
      </c>
      <c r="J12" s="72" t="str" cm="1">
        <f t="array" ref="J12">getProgramXref($A12,numericItinerary(J$1))</f>
        <v>x</v>
      </c>
      <c r="K12" s="72" t="str" cm="1">
        <f t="array" ref="K12">getProgramXref($A12,numericItinerary(K$1))</f>
        <v/>
      </c>
      <c r="L12" s="72" t="str" cm="1">
        <f t="array" ref="L12">getProgramXref($A12,numericItinerary(L$1))</f>
        <v/>
      </c>
      <c r="M12" s="72" t="str" cm="1">
        <f t="array" ref="M12">getProgramXref($A12,numericItinerary(M$1))</f>
        <v>x</v>
      </c>
      <c r="N12" s="179" t="str" cm="1">
        <f t="array" ref="N12">getProgramXref($A12,numericItinerary(N$1))</f>
        <v/>
      </c>
      <c r="P12" s="175">
        <f t="shared" si="1"/>
        <v>5</v>
      </c>
    </row>
    <row r="13" spans="1:16" s="68" customFormat="1" ht="22.5" customHeight="1" x14ac:dyDescent="0.2">
      <c r="A13" s="178" t="str">
        <f t="array" ref="A13">INDEX(program_table,ROW()-5)</f>
        <v>Ecology: Demonstration Forest</v>
      </c>
      <c r="B13" s="922">
        <f t="shared" si="0"/>
        <v>2</v>
      </c>
      <c r="C13" s="654" t="str" cm="1">
        <f t="array" ref="C13">getProgramXref($A13,numericItinerary(C$1))</f>
        <v/>
      </c>
      <c r="D13" s="72" t="str" cm="1">
        <f t="array" ref="D13">getProgramXref($A13,numericItinerary(D$1))</f>
        <v/>
      </c>
      <c r="E13" s="72" t="str" cm="1">
        <f t="array" ref="E13">getProgramXref($A13,numericItinerary(E$1))</f>
        <v>x</v>
      </c>
      <c r="F13" s="72" t="str" cm="1">
        <f t="array" ref="F13">getProgramXref($A13,numericItinerary(F$1))</f>
        <v/>
      </c>
      <c r="G13" s="72" t="str" cm="1">
        <f t="array" ref="G13">getProgramXref($A13,numericItinerary(G$1))</f>
        <v/>
      </c>
      <c r="H13" s="72" t="str" cm="1">
        <f t="array" ref="H13">getProgramXref($A13,numericItinerary(H$1))</f>
        <v/>
      </c>
      <c r="I13" s="72" t="str" cm="1">
        <f t="array" ref="I13">getProgramXref($A13,numericItinerary(I$1))</f>
        <v/>
      </c>
      <c r="J13" s="72" t="str" cm="1">
        <f t="array" ref="J13">getProgramXref($A13,numericItinerary(J$1))</f>
        <v/>
      </c>
      <c r="K13" s="72" t="str" cm="1">
        <f t="array" ref="K13">getProgramXref($A13,numericItinerary(K$1))</f>
        <v>x</v>
      </c>
      <c r="L13" s="72" t="str" cm="1">
        <f t="array" ref="L13">getProgramXref($A13,numericItinerary(L$1))</f>
        <v/>
      </c>
      <c r="M13" s="72" t="str" cm="1">
        <f t="array" ref="M13">getProgramXref($A13,numericItinerary(M$1))</f>
        <v/>
      </c>
      <c r="N13" s="179" t="str" cm="1">
        <f t="array" ref="N13">getProgramXref($A13,numericItinerary(N$1))</f>
        <v/>
      </c>
      <c r="P13" s="175">
        <f t="shared" si="1"/>
        <v>2</v>
      </c>
    </row>
    <row r="14" spans="1:16" s="68" customFormat="1" ht="22.5" customHeight="1" x14ac:dyDescent="0.2">
      <c r="A14" s="178" t="str">
        <f t="array" ref="A14">INDEX(program_table,ROW()-5)</f>
        <v>Ecology: Self-Guided Fishing</v>
      </c>
      <c r="B14" s="922">
        <f t="shared" si="0"/>
        <v>5</v>
      </c>
      <c r="C14" s="654" t="str" cm="1">
        <f t="array" ref="C14">getProgramXref($A14,numericItinerary(C$1))</f>
        <v>x</v>
      </c>
      <c r="D14" s="72" t="str" cm="1">
        <f t="array" ref="D14">getProgramXref($A14,numericItinerary(D$1))</f>
        <v/>
      </c>
      <c r="E14" s="72" t="str" cm="1">
        <f t="array" ref="E14">getProgramXref($A14,numericItinerary(E$1))</f>
        <v/>
      </c>
      <c r="F14" s="72" t="str" cm="1">
        <f t="array" ref="F14">getProgramXref($A14,numericItinerary(F$1))</f>
        <v>x</v>
      </c>
      <c r="G14" s="72" t="str" cm="1">
        <f t="array" ref="G14">getProgramXref($A14,numericItinerary(G$1))</f>
        <v/>
      </c>
      <c r="H14" s="72" t="str" cm="1">
        <f t="array" ref="H14">getProgramXref($A14,numericItinerary(H$1))</f>
        <v/>
      </c>
      <c r="I14" s="72" t="str" cm="1">
        <f t="array" ref="I14">getProgramXref($A14,numericItinerary(I$1))</f>
        <v/>
      </c>
      <c r="J14" s="72" t="str" cm="1">
        <f t="array" ref="J14">getProgramXref($A14,numericItinerary(J$1))</f>
        <v>x</v>
      </c>
      <c r="K14" s="72" t="str" cm="1">
        <f t="array" ref="K14">getProgramXref($A14,numericItinerary(K$1))</f>
        <v>x</v>
      </c>
      <c r="L14" s="72" t="str" cm="1">
        <f t="array" ref="L14">getProgramXref($A14,numericItinerary(L$1))</f>
        <v/>
      </c>
      <c r="M14" s="72" t="str" cm="1">
        <f t="array" ref="M14">getProgramXref($A14,numericItinerary(M$1))</f>
        <v/>
      </c>
      <c r="N14" s="179" t="str" cm="1">
        <f t="array" ref="N14">getProgramXref($A14,numericItinerary(N$1))</f>
        <v>x</v>
      </c>
      <c r="P14" s="175">
        <f t="shared" si="1"/>
        <v>5</v>
      </c>
    </row>
    <row r="15" spans="1:16" s="68" customFormat="1" ht="22.5" customHeight="1" x14ac:dyDescent="0.2">
      <c r="A15" s="178" t="str">
        <f t="array" ref="A15">INDEX(program_table,ROW()-5)</f>
        <v>Evening: Advisor Coffee</v>
      </c>
      <c r="B15" s="922">
        <f t="shared" si="0"/>
        <v>0</v>
      </c>
      <c r="C15" s="654" t="str" cm="1">
        <f t="array" ref="C15">getProgramXref($A15,numericItinerary(C$1))</f>
        <v/>
      </c>
      <c r="D15" s="72" t="str" cm="1">
        <f t="array" ref="D15">getProgramXref($A15,numericItinerary(D$1))</f>
        <v/>
      </c>
      <c r="E15" s="72" t="str" cm="1">
        <f t="array" ref="E15">getProgramXref($A15,numericItinerary(E$1))</f>
        <v/>
      </c>
      <c r="F15" s="72" t="str" cm="1">
        <f t="array" ref="F15">getProgramXref($A15,numericItinerary(F$1))</f>
        <v/>
      </c>
      <c r="G15" s="72" t="str" cm="1">
        <f t="array" ref="G15">getProgramXref($A15,numericItinerary(G$1))</f>
        <v/>
      </c>
      <c r="H15" s="72" t="str" cm="1">
        <f t="array" ref="H15">getProgramXref($A15,numericItinerary(H$1))</f>
        <v/>
      </c>
      <c r="I15" s="72" t="str" cm="1">
        <f t="array" ref="I15">getProgramXref($A15,numericItinerary(I$1))</f>
        <v/>
      </c>
      <c r="J15" s="72" t="str" cm="1">
        <f t="array" ref="J15">getProgramXref($A15,numericItinerary(J$1))</f>
        <v/>
      </c>
      <c r="K15" s="72" t="str" cm="1">
        <f t="array" ref="K15">getProgramXref($A15,numericItinerary(K$1))</f>
        <v/>
      </c>
      <c r="L15" s="72" t="str" cm="1">
        <f t="array" ref="L15">getProgramXref($A15,numericItinerary(L$1))</f>
        <v/>
      </c>
      <c r="M15" s="72" t="str" cm="1">
        <f t="array" ref="M15">getProgramXref($A15,numericItinerary(M$1))</f>
        <v/>
      </c>
      <c r="N15" s="179" t="str" cm="1">
        <f t="array" ref="N15">getProgramXref($A15,numericItinerary(N$1))</f>
        <v/>
      </c>
      <c r="P15" s="175">
        <f t="shared" si="1"/>
        <v>0</v>
      </c>
    </row>
    <row r="16" spans="1:16" s="68" customFormat="1" ht="22.5" customHeight="1" x14ac:dyDescent="0.2">
      <c r="A16" s="178" t="str">
        <f t="array" ref="A16">INDEX(program_table,ROW()-5)</f>
        <v>Evening: Campfire Show</v>
      </c>
      <c r="B16" s="922">
        <f t="shared" si="0"/>
        <v>12</v>
      </c>
      <c r="C16" s="654" t="str" cm="1">
        <f t="array" ref="C16">getProgramXref($A16,numericItinerary(C$1))</f>
        <v>x</v>
      </c>
      <c r="D16" s="72" t="str" cm="1">
        <f t="array" ref="D16">getProgramXref($A16,numericItinerary(D$1))</f>
        <v>x</v>
      </c>
      <c r="E16" s="72" t="str" cm="1">
        <f t="array" ref="E16">getProgramXref($A16,numericItinerary(E$1))</f>
        <v>x</v>
      </c>
      <c r="F16" s="72" t="str" cm="1">
        <f t="array" ref="F16">getProgramXref($A16,numericItinerary(F$1))</f>
        <v>x</v>
      </c>
      <c r="G16" s="72" t="str" cm="1">
        <f t="array" ref="G16">getProgramXref($A16,numericItinerary(G$1))</f>
        <v>x</v>
      </c>
      <c r="H16" s="72" t="str" cm="1">
        <f t="array" ref="H16">getProgramXref($A16,numericItinerary(H$1))</f>
        <v>x</v>
      </c>
      <c r="I16" s="72" t="str" cm="1">
        <f t="array" ref="I16">getProgramXref($A16,numericItinerary(I$1))</f>
        <v>x</v>
      </c>
      <c r="J16" s="72" t="str" cm="1">
        <f t="array" ref="J16">getProgramXref($A16,numericItinerary(J$1))</f>
        <v>x</v>
      </c>
      <c r="K16" s="72" t="str" cm="1">
        <f t="array" ref="K16">getProgramXref($A16,numericItinerary(K$1))</f>
        <v>x</v>
      </c>
      <c r="L16" s="72" t="str" cm="1">
        <f t="array" ref="L16">getProgramXref($A16,numericItinerary(L$1))</f>
        <v>x</v>
      </c>
      <c r="M16" s="72" t="str" cm="1">
        <f t="array" ref="M16">getProgramXref($A16,numericItinerary(M$1))</f>
        <v>x</v>
      </c>
      <c r="N16" s="179" t="str" cm="1">
        <f t="array" ref="N16">getProgramXref($A16,numericItinerary(N$1))</f>
        <v>x</v>
      </c>
      <c r="P16" s="175">
        <f t="shared" si="1"/>
        <v>12</v>
      </c>
    </row>
    <row r="17" spans="1:16" s="68" customFormat="1" ht="22.5" customHeight="1" x14ac:dyDescent="0.2">
      <c r="A17" s="178" t="str">
        <f t="array" ref="A17">INDEX(program_table,ROW()-5)</f>
        <v>Evening: Chuckwagon Dinner</v>
      </c>
      <c r="B17" s="922">
        <f t="shared" si="0"/>
        <v>10</v>
      </c>
      <c r="C17" s="654" t="str" cm="1">
        <f t="array" ref="C17">getProgramXref($A17,numericItinerary(C$1))</f>
        <v>x</v>
      </c>
      <c r="D17" s="72" t="str" cm="1">
        <f t="array" ref="D17">getProgramXref($A17,numericItinerary(D$1))</f>
        <v>x</v>
      </c>
      <c r="E17" s="72" t="str" cm="1">
        <f t="array" ref="E17">getProgramXref($A17,numericItinerary(E$1))</f>
        <v>x</v>
      </c>
      <c r="F17" s="72" t="str" cm="1">
        <f t="array" ref="F17">getProgramXref($A17,numericItinerary(F$1))</f>
        <v>x</v>
      </c>
      <c r="G17" s="72" t="str" cm="1">
        <f t="array" ref="G17">getProgramXref($A17,numericItinerary(G$1))</f>
        <v/>
      </c>
      <c r="H17" s="72" t="str" cm="1">
        <f t="array" ref="H17">getProgramXref($A17,numericItinerary(H$1))</f>
        <v>x</v>
      </c>
      <c r="I17" s="72" t="str" cm="1">
        <f t="array" ref="I17">getProgramXref($A17,numericItinerary(I$1))</f>
        <v/>
      </c>
      <c r="J17" s="72" t="str" cm="1">
        <f t="array" ref="J17">getProgramXref($A17,numericItinerary(J$1))</f>
        <v>x</v>
      </c>
      <c r="K17" s="72" t="str" cm="1">
        <f t="array" ref="K17">getProgramXref($A17,numericItinerary(K$1))</f>
        <v>x</v>
      </c>
      <c r="L17" s="72" t="str" cm="1">
        <f t="array" ref="L17">getProgramXref($A17,numericItinerary(L$1))</f>
        <v>x</v>
      </c>
      <c r="M17" s="72" t="str" cm="1">
        <f t="array" ref="M17">getProgramXref($A17,numericItinerary(M$1))</f>
        <v>x</v>
      </c>
      <c r="N17" s="179" t="str" cm="1">
        <f t="array" ref="N17">getProgramXref($A17,numericItinerary(N$1))</f>
        <v>x</v>
      </c>
      <c r="P17" s="175">
        <f t="shared" si="1"/>
        <v>10</v>
      </c>
    </row>
    <row r="18" spans="1:16" s="68" customFormat="1" ht="22.5" customHeight="1" x14ac:dyDescent="0.2">
      <c r="A18" s="178" t="str">
        <f t="array" ref="A18">INDEX(program_table,ROW()-5)</f>
        <v>Historical: Adobe Brick-Making</v>
      </c>
      <c r="B18" s="922">
        <f t="shared" si="0"/>
        <v>7</v>
      </c>
      <c r="C18" s="654" t="str" cm="1">
        <f t="array" ref="C18">getProgramXref($A18,numericItinerary(C$1))</f>
        <v>x</v>
      </c>
      <c r="D18" s="72" t="str" cm="1">
        <f t="array" ref="D18">getProgramXref($A18,numericItinerary(D$1))</f>
        <v>x</v>
      </c>
      <c r="E18" s="72" t="str" cm="1">
        <f t="array" ref="E18">getProgramXref($A18,numericItinerary(E$1))</f>
        <v>x</v>
      </c>
      <c r="F18" s="72" t="str" cm="1">
        <f t="array" ref="F18">getProgramXref($A18,numericItinerary(F$1))</f>
        <v>x</v>
      </c>
      <c r="G18" s="72" t="str" cm="1">
        <f t="array" ref="G18">getProgramXref($A18,numericItinerary(G$1))</f>
        <v/>
      </c>
      <c r="H18" s="72" t="str" cm="1">
        <f t="array" ref="H18">getProgramXref($A18,numericItinerary(H$1))</f>
        <v/>
      </c>
      <c r="I18" s="72" t="str" cm="1">
        <f t="array" ref="I18">getProgramXref($A18,numericItinerary(I$1))</f>
        <v/>
      </c>
      <c r="J18" s="72" t="str" cm="1">
        <f t="array" ref="J18">getProgramXref($A18,numericItinerary(J$1))</f>
        <v>x</v>
      </c>
      <c r="K18" s="72" t="str" cm="1">
        <f t="array" ref="K18">getProgramXref($A18,numericItinerary(K$1))</f>
        <v>x</v>
      </c>
      <c r="L18" s="72" t="str" cm="1">
        <f t="array" ref="L18">getProgramXref($A18,numericItinerary(L$1))</f>
        <v/>
      </c>
      <c r="M18" s="72" t="str" cm="1">
        <f t="array" ref="M18">getProgramXref($A18,numericItinerary(M$1))</f>
        <v/>
      </c>
      <c r="N18" s="179" t="str" cm="1">
        <f t="array" ref="N18">getProgramXref($A18,numericItinerary(N$1))</f>
        <v>x</v>
      </c>
      <c r="P18" s="175">
        <f t="shared" si="1"/>
        <v>7</v>
      </c>
    </row>
    <row r="19" spans="1:16" s="68" customFormat="1" ht="22.5" customHeight="1" x14ac:dyDescent="0.2">
      <c r="A19" s="178" t="str">
        <f t="array" ref="A19">INDEX(program_table,ROW()-5)</f>
        <v>Historical: Blacksmithing</v>
      </c>
      <c r="B19" s="922">
        <f t="shared" si="0"/>
        <v>4</v>
      </c>
      <c r="C19" s="654" t="str" cm="1">
        <f t="array" ref="C19">getProgramXref($A19,numericItinerary(C$1))</f>
        <v>x</v>
      </c>
      <c r="D19" s="72" t="str" cm="1">
        <f t="array" ref="D19">getProgramXref($A19,numericItinerary(D$1))</f>
        <v/>
      </c>
      <c r="E19" s="72" t="str" cm="1">
        <f t="array" ref="E19">getProgramXref($A19,numericItinerary(E$1))</f>
        <v/>
      </c>
      <c r="F19" s="72" t="str" cm="1">
        <f t="array" ref="F19">getProgramXref($A19,numericItinerary(F$1))</f>
        <v>x</v>
      </c>
      <c r="G19" s="72" t="str" cm="1">
        <f t="array" ref="G19">getProgramXref($A19,numericItinerary(G$1))</f>
        <v/>
      </c>
      <c r="H19" s="72" t="str" cm="1">
        <f t="array" ref="H19">getProgramXref($A19,numericItinerary(H$1))</f>
        <v/>
      </c>
      <c r="I19" s="72" t="str" cm="1">
        <f t="array" ref="I19">getProgramXref($A19,numericItinerary(I$1))</f>
        <v/>
      </c>
      <c r="J19" s="72" t="str" cm="1">
        <f t="array" ref="J19">getProgramXref($A19,numericItinerary(J$1))</f>
        <v>x</v>
      </c>
      <c r="K19" s="72" t="str" cm="1">
        <f t="array" ref="K19">getProgramXref($A19,numericItinerary(K$1))</f>
        <v>x</v>
      </c>
      <c r="L19" s="72" t="str" cm="1">
        <f t="array" ref="L19">getProgramXref($A19,numericItinerary(L$1))</f>
        <v/>
      </c>
      <c r="M19" s="72" t="str" cm="1">
        <f t="array" ref="M19">getProgramXref($A19,numericItinerary(M$1))</f>
        <v/>
      </c>
      <c r="N19" s="179" t="str" cm="1">
        <f t="array" ref="N19">getProgramXref($A19,numericItinerary(N$1))</f>
        <v/>
      </c>
      <c r="P19" s="175">
        <f t="shared" si="1"/>
        <v>4</v>
      </c>
    </row>
    <row r="20" spans="1:16" s="68" customFormat="1" ht="22.5" customHeight="1" x14ac:dyDescent="0.2">
      <c r="A20" s="178" t="str">
        <f t="array" ref="A20">INDEX(program_table,ROW()-5)</f>
        <v>Historical: Cabin Restoration</v>
      </c>
      <c r="B20" s="922">
        <f t="shared" si="0"/>
        <v>7</v>
      </c>
      <c r="C20" s="654" t="str" cm="1">
        <f t="array" ref="C20">getProgramXref($A20,numericItinerary(C$1))</f>
        <v>x</v>
      </c>
      <c r="D20" s="72" t="str" cm="1">
        <f t="array" ref="D20">getProgramXref($A20,numericItinerary(D$1))</f>
        <v/>
      </c>
      <c r="E20" s="72" t="str" cm="1">
        <f t="array" ref="E20">getProgramXref($A20,numericItinerary(E$1))</f>
        <v/>
      </c>
      <c r="F20" s="72" t="str" cm="1">
        <f t="array" ref="F20">getProgramXref($A20,numericItinerary(F$1))</f>
        <v>x</v>
      </c>
      <c r="G20" s="72" t="str" cm="1">
        <f t="array" ref="G20">getProgramXref($A20,numericItinerary(G$1))</f>
        <v>x</v>
      </c>
      <c r="H20" s="72" t="str" cm="1">
        <f t="array" ref="H20">getProgramXref($A20,numericItinerary(H$1))</f>
        <v/>
      </c>
      <c r="I20" s="72" t="str" cm="1">
        <f t="array" ref="I20">getProgramXref($A20,numericItinerary(I$1))</f>
        <v>x</v>
      </c>
      <c r="J20" s="72" t="str" cm="1">
        <f t="array" ref="J20">getProgramXref($A20,numericItinerary(J$1))</f>
        <v/>
      </c>
      <c r="K20" s="72" t="str" cm="1">
        <f t="array" ref="K20">getProgramXref($A20,numericItinerary(K$1))</f>
        <v>x</v>
      </c>
      <c r="L20" s="72" t="str" cm="1">
        <f t="array" ref="L20">getProgramXref($A20,numericItinerary(L$1))</f>
        <v>x</v>
      </c>
      <c r="M20" s="72" t="str" cm="1">
        <f t="array" ref="M20">getProgramXref($A20,numericItinerary(M$1))</f>
        <v>x</v>
      </c>
      <c r="N20" s="179" t="str" cm="1">
        <f t="array" ref="N20">getProgramXref($A20,numericItinerary(N$1))</f>
        <v/>
      </c>
      <c r="P20" s="175">
        <f t="shared" si="1"/>
        <v>7</v>
      </c>
    </row>
    <row r="21" spans="1:16" s="68" customFormat="1" ht="22.5" customHeight="1" x14ac:dyDescent="0.2">
      <c r="A21" s="178" t="str">
        <f t="array" ref="A21">INDEX(program_table,ROW()-5)</f>
        <v>Historical: Cabin/House Tour</v>
      </c>
      <c r="B21" s="922">
        <f t="shared" si="0"/>
        <v>2</v>
      </c>
      <c r="C21" s="654" t="str" cm="1">
        <f t="array" ref="C21">getProgramXref($A21,numericItinerary(C$1))</f>
        <v/>
      </c>
      <c r="D21" s="72" t="str" cm="1">
        <f t="array" ref="D21">getProgramXref($A21,numericItinerary(D$1))</f>
        <v/>
      </c>
      <c r="E21" s="72" t="str" cm="1">
        <f t="array" ref="E21">getProgramXref($A21,numericItinerary(E$1))</f>
        <v/>
      </c>
      <c r="F21" s="72" t="str" cm="1">
        <f t="array" ref="F21">getProgramXref($A21,numericItinerary(F$1))</f>
        <v>x</v>
      </c>
      <c r="G21" s="72" t="str" cm="1">
        <f t="array" ref="G21">getProgramXref($A21,numericItinerary(G$1))</f>
        <v/>
      </c>
      <c r="H21" s="72" t="str" cm="1">
        <f t="array" ref="H21">getProgramXref($A21,numericItinerary(H$1))</f>
        <v/>
      </c>
      <c r="I21" s="72" t="str" cm="1">
        <f t="array" ref="I21">getProgramXref($A21,numericItinerary(I$1))</f>
        <v/>
      </c>
      <c r="J21" s="72" t="str" cm="1">
        <f t="array" ref="J21">getProgramXref($A21,numericItinerary(J$1))</f>
        <v/>
      </c>
      <c r="K21" s="72" t="str" cm="1">
        <f t="array" ref="K21">getProgramXref($A21,numericItinerary(K$1))</f>
        <v>x</v>
      </c>
      <c r="L21" s="72" t="str" cm="1">
        <f t="array" ref="L21">getProgramXref($A21,numericItinerary(L$1))</f>
        <v/>
      </c>
      <c r="M21" s="72" t="str" cm="1">
        <f t="array" ref="M21">getProgramXref($A21,numericItinerary(M$1))</f>
        <v/>
      </c>
      <c r="N21" s="179" t="str" cm="1">
        <f t="array" ref="N21">getProgramXref($A21,numericItinerary(N$1))</f>
        <v/>
      </c>
      <c r="P21" s="175">
        <f t="shared" si="1"/>
        <v>2</v>
      </c>
    </row>
    <row r="22" spans="1:16" s="68" customFormat="1" ht="22.5" customHeight="1" x14ac:dyDescent="0.2">
      <c r="A22" s="178" t="str">
        <f t="array" ref="A22">INDEX(program_table,ROW()-5)</f>
        <v>Historical: Crafting</v>
      </c>
      <c r="B22" s="922">
        <f t="shared" si="0"/>
        <v>6</v>
      </c>
      <c r="C22" s="654" t="str" cm="1">
        <f t="array" ref="C22">getProgramXref($A22,numericItinerary(C$1))</f>
        <v>x</v>
      </c>
      <c r="D22" s="72" t="str" cm="1">
        <f t="array" ref="D22">getProgramXref($A22,numericItinerary(D$1))</f>
        <v/>
      </c>
      <c r="E22" s="72" t="str" cm="1">
        <f t="array" ref="E22">getProgramXref($A22,numericItinerary(E$1))</f>
        <v/>
      </c>
      <c r="F22" s="72" t="str" cm="1">
        <f t="array" ref="F22">getProgramXref($A22,numericItinerary(F$1))</f>
        <v>x</v>
      </c>
      <c r="G22" s="72" t="str" cm="1">
        <f t="array" ref="G22">getProgramXref($A22,numericItinerary(G$1))</f>
        <v/>
      </c>
      <c r="H22" s="72" t="str" cm="1">
        <f t="array" ref="H22">getProgramXref($A22,numericItinerary(H$1))</f>
        <v>x</v>
      </c>
      <c r="I22" s="72" t="str" cm="1">
        <f t="array" ref="I22">getProgramXref($A22,numericItinerary(I$1))</f>
        <v/>
      </c>
      <c r="J22" s="72" t="str" cm="1">
        <f t="array" ref="J22">getProgramXref($A22,numericItinerary(J$1))</f>
        <v>x</v>
      </c>
      <c r="K22" s="72" t="str" cm="1">
        <f t="array" ref="K22">getProgramXref($A22,numericItinerary(K$1))</f>
        <v>x</v>
      </c>
      <c r="L22" s="72" t="str" cm="1">
        <f t="array" ref="L22">getProgramXref($A22,numericItinerary(L$1))</f>
        <v/>
      </c>
      <c r="M22" s="72" t="str" cm="1">
        <f t="array" ref="M22">getProgramXref($A22,numericItinerary(M$1))</f>
        <v>x</v>
      </c>
      <c r="N22" s="179" t="str" cm="1">
        <f t="array" ref="N22">getProgramXref($A22,numericItinerary(N$1))</f>
        <v/>
      </c>
      <c r="P22" s="175">
        <f t="shared" si="1"/>
        <v>6</v>
      </c>
    </row>
    <row r="23" spans="1:16" s="68" customFormat="1" ht="22.5" customHeight="1" x14ac:dyDescent="0.2">
      <c r="A23" s="178" t="str">
        <f t="array" ref="A23">INDEX(program_table,ROW()-5)</f>
        <v>Historical: Crosscut &amp; Tie Making</v>
      </c>
      <c r="B23" s="922">
        <f t="shared" si="0"/>
        <v>4</v>
      </c>
      <c r="C23" s="654" t="str" cm="1">
        <f t="array" ref="C23">getProgramXref($A23,numericItinerary(C$1))</f>
        <v>x</v>
      </c>
      <c r="D23" s="72" t="str" cm="1">
        <f t="array" ref="D23">getProgramXref($A23,numericItinerary(D$1))</f>
        <v/>
      </c>
      <c r="E23" s="72" t="str" cm="1">
        <f t="array" ref="E23">getProgramXref($A23,numericItinerary(E$1))</f>
        <v/>
      </c>
      <c r="F23" s="72" t="str" cm="1">
        <f t="array" ref="F23">getProgramXref($A23,numericItinerary(F$1))</f>
        <v>x</v>
      </c>
      <c r="G23" s="72" t="str" cm="1">
        <f t="array" ref="G23">getProgramXref($A23,numericItinerary(G$1))</f>
        <v/>
      </c>
      <c r="H23" s="72" t="str" cm="1">
        <f t="array" ref="H23">getProgramXref($A23,numericItinerary(H$1))</f>
        <v/>
      </c>
      <c r="I23" s="72" t="str" cm="1">
        <f t="array" ref="I23">getProgramXref($A23,numericItinerary(I$1))</f>
        <v/>
      </c>
      <c r="J23" s="72" t="str" cm="1">
        <f t="array" ref="J23">getProgramXref($A23,numericItinerary(J$1))</f>
        <v>x</v>
      </c>
      <c r="K23" s="72" t="str" cm="1">
        <f t="array" ref="K23">getProgramXref($A23,numericItinerary(K$1))</f>
        <v>x</v>
      </c>
      <c r="L23" s="72" t="str" cm="1">
        <f t="array" ref="L23">getProgramXref($A23,numericItinerary(L$1))</f>
        <v/>
      </c>
      <c r="M23" s="72" t="str" cm="1">
        <f t="array" ref="M23">getProgramXref($A23,numericItinerary(M$1))</f>
        <v/>
      </c>
      <c r="N23" s="179" t="str" cm="1">
        <f t="array" ref="N23">getProgramXref($A23,numericItinerary(N$1))</f>
        <v/>
      </c>
      <c r="P23" s="175">
        <f t="shared" si="1"/>
        <v>4</v>
      </c>
    </row>
    <row r="24" spans="1:16" s="68" customFormat="1" ht="22.5" customHeight="1" x14ac:dyDescent="0.2">
      <c r="A24" s="178" t="str">
        <f t="array" ref="A24">INDEX(program_table,ROW()-5)</f>
        <v>Historical: Flint Knapping</v>
      </c>
      <c r="B24" s="922">
        <f t="shared" si="0"/>
        <v>6</v>
      </c>
      <c r="C24" s="654" t="str" cm="1">
        <f t="array" ref="C24">getProgramXref($A24,numericItinerary(C$1))</f>
        <v>x</v>
      </c>
      <c r="D24" s="72" t="str" cm="1">
        <f t="array" ref="D24">getProgramXref($A24,numericItinerary(D$1))</f>
        <v/>
      </c>
      <c r="E24" s="72" t="str" cm="1">
        <f t="array" ref="E24">getProgramXref($A24,numericItinerary(E$1))</f>
        <v/>
      </c>
      <c r="F24" s="72" t="str" cm="1">
        <f t="array" ref="F24">getProgramXref($A24,numericItinerary(F$1))</f>
        <v>x</v>
      </c>
      <c r="G24" s="72" t="str" cm="1">
        <f t="array" ref="G24">getProgramXref($A24,numericItinerary(G$1))</f>
        <v>x</v>
      </c>
      <c r="H24" s="72" t="str" cm="1">
        <f t="array" ref="H24">getProgramXref($A24,numericItinerary(H$1))</f>
        <v>x</v>
      </c>
      <c r="I24" s="72" t="str" cm="1">
        <f t="array" ref="I24">getProgramXref($A24,numericItinerary(I$1))</f>
        <v/>
      </c>
      <c r="J24" s="72" t="str" cm="1">
        <f t="array" ref="J24">getProgramXref($A24,numericItinerary(J$1))</f>
        <v>x</v>
      </c>
      <c r="K24" s="72" t="str" cm="1">
        <f t="array" ref="K24">getProgramXref($A24,numericItinerary(K$1))</f>
        <v/>
      </c>
      <c r="L24" s="72" t="str" cm="1">
        <f t="array" ref="L24">getProgramXref($A24,numericItinerary(L$1))</f>
        <v>x</v>
      </c>
      <c r="M24" s="72" t="str" cm="1">
        <f t="array" ref="M24">getProgramXref($A24,numericItinerary(M$1))</f>
        <v/>
      </c>
      <c r="N24" s="179" t="str" cm="1">
        <f t="array" ref="N24">getProgramXref($A24,numericItinerary(N$1))</f>
        <v/>
      </c>
      <c r="P24" s="175">
        <f t="shared" si="1"/>
        <v>6</v>
      </c>
    </row>
    <row r="25" spans="1:16" s="68" customFormat="1" ht="22.5" customHeight="1" x14ac:dyDescent="0.2">
      <c r="A25" s="178" t="str">
        <f t="array" ref="A25">INDEX(program_table,ROW()-5)</f>
        <v>Historical: Fur Trapper Rendezvous</v>
      </c>
      <c r="B25" s="922">
        <f t="shared" si="0"/>
        <v>1</v>
      </c>
      <c r="C25" s="654" t="str" cm="1">
        <f t="array" ref="C25">getProgramXref($A25,numericItinerary(C$1))</f>
        <v/>
      </c>
      <c r="D25" s="72" t="str" cm="1">
        <f t="array" ref="D25">getProgramXref($A25,numericItinerary(D$1))</f>
        <v/>
      </c>
      <c r="E25" s="72" t="str" cm="1">
        <f t="array" ref="E25">getProgramXref($A25,numericItinerary(E$1))</f>
        <v/>
      </c>
      <c r="F25" s="72" t="str" cm="1">
        <f t="array" ref="F25">getProgramXref($A25,numericItinerary(F$1))</f>
        <v/>
      </c>
      <c r="G25" s="72" t="str" cm="1">
        <f t="array" ref="G25">getProgramXref($A25,numericItinerary(G$1))</f>
        <v/>
      </c>
      <c r="H25" s="72" t="str" cm="1">
        <f t="array" ref="H25">getProgramXref($A25,numericItinerary(H$1))</f>
        <v/>
      </c>
      <c r="I25" s="72" t="str" cm="1">
        <f t="array" ref="I25">getProgramXref($A25,numericItinerary(I$1))</f>
        <v/>
      </c>
      <c r="J25" s="72" t="str" cm="1">
        <f t="array" ref="J25">getProgramXref($A25,numericItinerary(J$1))</f>
        <v>x</v>
      </c>
      <c r="K25" s="72" t="str" cm="1">
        <f t="array" ref="K25">getProgramXref($A25,numericItinerary(K$1))</f>
        <v/>
      </c>
      <c r="L25" s="72" t="str" cm="1">
        <f t="array" ref="L25">getProgramXref($A25,numericItinerary(L$1))</f>
        <v/>
      </c>
      <c r="M25" s="72" t="str" cm="1">
        <f t="array" ref="M25">getProgramXref($A25,numericItinerary(M$1))</f>
        <v/>
      </c>
      <c r="N25" s="179" t="str" cm="1">
        <f t="array" ref="N25">getProgramXref($A25,numericItinerary(N$1))</f>
        <v/>
      </c>
      <c r="P25" s="175">
        <f t="shared" si="1"/>
        <v>1</v>
      </c>
    </row>
    <row r="26" spans="1:16" s="68" customFormat="1" ht="22.5" customHeight="1" x14ac:dyDescent="0.2">
      <c r="A26" s="178" t="str">
        <f t="array" ref="A26">INDEX(program_table,ROW()-5)</f>
        <v>Historical: Gold Panning</v>
      </c>
      <c r="B26" s="922">
        <f t="shared" si="0"/>
        <v>3</v>
      </c>
      <c r="C26" s="654" t="str" cm="1">
        <f t="array" ref="C26">getProgramXref($A26,numericItinerary(C$1))</f>
        <v/>
      </c>
      <c r="D26" s="72" t="str" cm="1">
        <f t="array" ref="D26">getProgramXref($A26,numericItinerary(D$1))</f>
        <v/>
      </c>
      <c r="E26" s="72" t="str" cm="1">
        <f t="array" ref="E26">getProgramXref($A26,numericItinerary(E$1))</f>
        <v/>
      </c>
      <c r="F26" s="72" t="str" cm="1">
        <f t="array" ref="F26">getProgramXref($A26,numericItinerary(F$1))</f>
        <v/>
      </c>
      <c r="G26" s="72" t="str" cm="1">
        <f t="array" ref="G26">getProgramXref($A26,numericItinerary(G$1))</f>
        <v>x</v>
      </c>
      <c r="H26" s="72" t="str" cm="1">
        <f t="array" ref="H26">getProgramXref($A26,numericItinerary(H$1))</f>
        <v/>
      </c>
      <c r="I26" s="72" t="str" cm="1">
        <f t="array" ref="I26">getProgramXref($A26,numericItinerary(I$1))</f>
        <v/>
      </c>
      <c r="J26" s="72" t="str" cm="1">
        <f t="array" ref="J26">getProgramXref($A26,numericItinerary(J$1))</f>
        <v/>
      </c>
      <c r="K26" s="72" t="str" cm="1">
        <f t="array" ref="K26">getProgramXref($A26,numericItinerary(K$1))</f>
        <v/>
      </c>
      <c r="L26" s="72" t="str" cm="1">
        <f t="array" ref="L26">getProgramXref($A26,numericItinerary(L$1))</f>
        <v>x</v>
      </c>
      <c r="M26" s="72" t="str" cm="1">
        <f t="array" ref="M26">getProgramXref($A26,numericItinerary(M$1))</f>
        <v>x</v>
      </c>
      <c r="N26" s="179" t="str" cm="1">
        <f t="array" ref="N26">getProgramXref($A26,numericItinerary(N$1))</f>
        <v/>
      </c>
      <c r="P26" s="175">
        <f t="shared" si="1"/>
        <v>3</v>
      </c>
    </row>
    <row r="27" spans="1:16" s="68" customFormat="1" ht="22.5" customHeight="1" x14ac:dyDescent="0.2">
      <c r="A27" s="178" t="str">
        <f t="array" ref="A27">INDEX(program_table,ROW()-5)</f>
        <v>Historical: Mine Tour</v>
      </c>
      <c r="B27" s="922">
        <f t="shared" si="0"/>
        <v>6</v>
      </c>
      <c r="C27" s="654" t="str" cm="1">
        <f t="array" ref="C27">getProgramXref($A27,numericItinerary(C$1))</f>
        <v/>
      </c>
      <c r="D27" s="72" t="str" cm="1">
        <f t="array" ref="D27">getProgramXref($A27,numericItinerary(D$1))</f>
        <v/>
      </c>
      <c r="E27" s="72" t="str" cm="1">
        <f t="array" ref="E27">getProgramXref($A27,numericItinerary(E$1))</f>
        <v>x</v>
      </c>
      <c r="F27" s="72" t="str" cm="1">
        <f t="array" ref="F27">getProgramXref($A27,numericItinerary(F$1))</f>
        <v/>
      </c>
      <c r="G27" s="72" t="str" cm="1">
        <f t="array" ref="G27">getProgramXref($A27,numericItinerary(G$1))</f>
        <v>x</v>
      </c>
      <c r="H27" s="72" t="str" cm="1">
        <f t="array" ref="H27">getProgramXref($A27,numericItinerary(H$1))</f>
        <v/>
      </c>
      <c r="I27" s="72" t="str" cm="1">
        <f t="array" ref="I27">getProgramXref($A27,numericItinerary(I$1))</f>
        <v>x</v>
      </c>
      <c r="J27" s="72" t="str" cm="1">
        <f t="array" ref="J27">getProgramXref($A27,numericItinerary(J$1))</f>
        <v/>
      </c>
      <c r="K27" s="72" t="str" cm="1">
        <f t="array" ref="K27">getProgramXref($A27,numericItinerary(K$1))</f>
        <v>x</v>
      </c>
      <c r="L27" s="72" t="str" cm="1">
        <f t="array" ref="L27">getProgramXref($A27,numericItinerary(L$1))</f>
        <v>x</v>
      </c>
      <c r="M27" s="72" t="str" cm="1">
        <f t="array" ref="M27">getProgramXref($A27,numericItinerary(M$1))</f>
        <v>x</v>
      </c>
      <c r="N27" s="179" t="str" cm="1">
        <f t="array" ref="N27">getProgramXref($A27,numericItinerary(N$1))</f>
        <v/>
      </c>
      <c r="P27" s="175">
        <f t="shared" si="1"/>
        <v>6</v>
      </c>
    </row>
    <row r="28" spans="1:16" s="68" customFormat="1" ht="22.5" customHeight="1" x14ac:dyDescent="0.2">
      <c r="A28" s="178" t="str">
        <f t="array" ref="A28">INDEX(program_table,ROW()-5)</f>
        <v>Historical: Petroglyph Tour</v>
      </c>
      <c r="B28" s="922">
        <f t="shared" si="0"/>
        <v>1</v>
      </c>
      <c r="C28" s="654" t="str" cm="1">
        <f t="array" ref="C28">getProgramXref($A28,numericItinerary(C$1))</f>
        <v/>
      </c>
      <c r="D28" s="72" t="str" cm="1">
        <f t="array" ref="D28">getProgramXref($A28,numericItinerary(D$1))</f>
        <v/>
      </c>
      <c r="E28" s="72" t="str" cm="1">
        <f t="array" ref="E28">getProgramXref($A28,numericItinerary(E$1))</f>
        <v/>
      </c>
      <c r="F28" s="72" t="str" cm="1">
        <f t="array" ref="F28">getProgramXref($A28,numericItinerary(F$1))</f>
        <v/>
      </c>
      <c r="G28" s="72" t="str" cm="1">
        <f t="array" ref="G28">getProgramXref($A28,numericItinerary(G$1))</f>
        <v/>
      </c>
      <c r="H28" s="72" t="str" cm="1">
        <f t="array" ref="H28">getProgramXref($A28,numericItinerary(H$1))</f>
        <v/>
      </c>
      <c r="I28" s="72" t="str" cm="1">
        <f t="array" ref="I28">getProgramXref($A28,numericItinerary(I$1))</f>
        <v/>
      </c>
      <c r="J28" s="72" t="str" cm="1">
        <f t="array" ref="J28">getProgramXref($A28,numericItinerary(J$1))</f>
        <v/>
      </c>
      <c r="K28" s="72" t="str" cm="1">
        <f t="array" ref="K28">getProgramXref($A28,numericItinerary(K$1))</f>
        <v>x</v>
      </c>
      <c r="L28" s="72" t="str" cm="1">
        <f t="array" ref="L28">getProgramXref($A28,numericItinerary(L$1))</f>
        <v/>
      </c>
      <c r="M28" s="72" t="str" cm="1">
        <f t="array" ref="M28">getProgramXref($A28,numericItinerary(M$1))</f>
        <v/>
      </c>
      <c r="N28" s="179" t="str" cm="1">
        <f t="array" ref="N28">getProgramXref($A28,numericItinerary(N$1))</f>
        <v/>
      </c>
      <c r="P28" s="175">
        <f t="shared" si="1"/>
        <v>1</v>
      </c>
    </row>
    <row r="29" spans="1:16" s="68" customFormat="1" ht="22.5" customHeight="1" x14ac:dyDescent="0.2">
      <c r="A29" s="178" t="str">
        <f t="array" ref="A29">INDEX(program_table,ROW()-5)</f>
        <v>Historical: Pump Car Rides</v>
      </c>
      <c r="B29" s="922">
        <f t="shared" si="0"/>
        <v>5</v>
      </c>
      <c r="C29" s="654" t="str" cm="1">
        <f t="array" ref="C29">getProgramXref($A29,numericItinerary(C$1))</f>
        <v/>
      </c>
      <c r="D29" s="72" t="str" cm="1">
        <f t="array" ref="D29">getProgramXref($A29,numericItinerary(D$1))</f>
        <v>x</v>
      </c>
      <c r="E29" s="72" t="str" cm="1">
        <f t="array" ref="E29">getProgramXref($A29,numericItinerary(E$1))</f>
        <v/>
      </c>
      <c r="F29" s="72" t="str" cm="1">
        <f t="array" ref="F29">getProgramXref($A29,numericItinerary(F$1))</f>
        <v/>
      </c>
      <c r="G29" s="72" t="str" cm="1">
        <f t="array" ref="G29">getProgramXref($A29,numericItinerary(G$1))</f>
        <v>x</v>
      </c>
      <c r="H29" s="72" t="str" cm="1">
        <f t="array" ref="H29">getProgramXref($A29,numericItinerary(H$1))</f>
        <v>x</v>
      </c>
      <c r="I29" s="72" t="str" cm="1">
        <f t="array" ref="I29">getProgramXref($A29,numericItinerary(I$1))</f>
        <v/>
      </c>
      <c r="J29" s="72" t="str" cm="1">
        <f t="array" ref="J29">getProgramXref($A29,numericItinerary(J$1))</f>
        <v/>
      </c>
      <c r="K29" s="72" t="str" cm="1">
        <f t="array" ref="K29">getProgramXref($A29,numericItinerary(K$1))</f>
        <v/>
      </c>
      <c r="L29" s="72" t="str" cm="1">
        <f t="array" ref="L29">getProgramXref($A29,numericItinerary(L$1))</f>
        <v>x</v>
      </c>
      <c r="M29" s="72" t="str" cm="1">
        <f t="array" ref="M29">getProgramXref($A29,numericItinerary(M$1))</f>
        <v>x</v>
      </c>
      <c r="N29" s="179" t="str" cm="1">
        <f t="array" ref="N29">getProgramXref($A29,numericItinerary(N$1))</f>
        <v/>
      </c>
      <c r="P29" s="175">
        <f t="shared" si="1"/>
        <v>5</v>
      </c>
    </row>
    <row r="30" spans="1:16" s="68" customFormat="1" ht="22.5" customHeight="1" x14ac:dyDescent="0.2">
      <c r="A30" s="178" t="str">
        <f t="array" ref="A30">INDEX(program_table,ROW()-5)</f>
        <v>Historical: Railroad Construction</v>
      </c>
      <c r="B30" s="922">
        <f t="shared" si="0"/>
        <v>1</v>
      </c>
      <c r="C30" s="654" t="str" cm="1">
        <f t="array" ref="C30">getProgramXref($A30,numericItinerary(C$1))</f>
        <v/>
      </c>
      <c r="D30" s="72" t="str" cm="1">
        <f t="array" ref="D30">getProgramXref($A30,numericItinerary(D$1))</f>
        <v/>
      </c>
      <c r="E30" s="72" t="str" cm="1">
        <f t="array" ref="E30">getProgramXref($A30,numericItinerary(E$1))</f>
        <v/>
      </c>
      <c r="F30" s="72" t="str" cm="1">
        <f t="array" ref="F30">getProgramXref($A30,numericItinerary(F$1))</f>
        <v/>
      </c>
      <c r="G30" s="72" t="str" cm="1">
        <f t="array" ref="G30">getProgramXref($A30,numericItinerary(G$1))</f>
        <v/>
      </c>
      <c r="H30" s="72" t="str" cm="1">
        <f t="array" ref="H30">getProgramXref($A30,numericItinerary(H$1))</f>
        <v/>
      </c>
      <c r="I30" s="72" t="str" cm="1">
        <f t="array" ref="I30">getProgramXref($A30,numericItinerary(I$1))</f>
        <v/>
      </c>
      <c r="J30" s="72" t="str" cm="1">
        <f t="array" ref="J30">getProgramXref($A30,numericItinerary(J$1))</f>
        <v/>
      </c>
      <c r="K30" s="72" t="str" cm="1">
        <f t="array" ref="K30">getProgramXref($A30,numericItinerary(K$1))</f>
        <v/>
      </c>
      <c r="L30" s="72" t="str" cm="1">
        <f t="array" ref="L30">getProgramXref($A30,numericItinerary(L$1))</f>
        <v>x</v>
      </c>
      <c r="M30" s="72" t="str" cm="1">
        <f t="array" ref="M30">getProgramXref($A30,numericItinerary(M$1))</f>
        <v/>
      </c>
      <c r="N30" s="179" t="str" cm="1">
        <f t="array" ref="N30">getProgramXref($A30,numericItinerary(N$1))</f>
        <v/>
      </c>
      <c r="P30" s="175">
        <f t="shared" si="1"/>
        <v>1</v>
      </c>
    </row>
    <row r="31" spans="1:16" s="68" customFormat="1" ht="22.5" customHeight="1" x14ac:dyDescent="0.2">
      <c r="A31" s="178" t="str">
        <f t="array" ref="A31">INDEX(program_table,ROW()-5)</f>
        <v>Historical: Spar Pole Climbing</v>
      </c>
      <c r="B31" s="922">
        <f t="shared" si="0"/>
        <v>2</v>
      </c>
      <c r="C31" s="654" t="str" cm="1">
        <f t="array" ref="C31">getProgramXref($A31,numericItinerary(C$1))</f>
        <v/>
      </c>
      <c r="D31" s="72" t="str" cm="1">
        <f t="array" ref="D31">getProgramXref($A31,numericItinerary(D$1))</f>
        <v/>
      </c>
      <c r="E31" s="72" t="str" cm="1">
        <f t="array" ref="E31">getProgramXref($A31,numericItinerary(E$1))</f>
        <v/>
      </c>
      <c r="F31" s="72" t="str" cm="1">
        <f t="array" ref="F31">getProgramXref($A31,numericItinerary(F$1))</f>
        <v/>
      </c>
      <c r="G31" s="72" t="str" cm="1">
        <f t="array" ref="G31">getProgramXref($A31,numericItinerary(G$1))</f>
        <v/>
      </c>
      <c r="H31" s="72" t="str" cm="1">
        <f t="array" ref="H31">getProgramXref($A31,numericItinerary(H$1))</f>
        <v/>
      </c>
      <c r="I31" s="72" t="str" cm="1">
        <f t="array" ref="I31">getProgramXref($A31,numericItinerary(I$1))</f>
        <v/>
      </c>
      <c r="J31" s="72" t="str" cm="1">
        <f t="array" ref="J31">getProgramXref($A31,numericItinerary(J$1))</f>
        <v/>
      </c>
      <c r="K31" s="72" t="str" cm="1">
        <f t="array" ref="K31">getProgramXref($A31,numericItinerary(K$1))</f>
        <v/>
      </c>
      <c r="L31" s="72" t="str" cm="1">
        <f t="array" ref="L31">getProgramXref($A31,numericItinerary(L$1))</f>
        <v>x</v>
      </c>
      <c r="M31" s="72" t="str" cm="1">
        <f t="array" ref="M31">getProgramXref($A31,numericItinerary(M$1))</f>
        <v>x</v>
      </c>
      <c r="N31" s="179" t="str" cm="1">
        <f t="array" ref="N31">getProgramXref($A31,numericItinerary(N$1))</f>
        <v/>
      </c>
      <c r="P31" s="175">
        <f t="shared" si="1"/>
        <v>2</v>
      </c>
    </row>
    <row r="32" spans="1:16" s="68" customFormat="1" ht="22.5" customHeight="1" x14ac:dyDescent="0.2">
      <c r="A32" s="178" t="str">
        <f t="array" ref="A32">INDEX(program_table,ROW()-5)</f>
        <v>Landmarks: Baldy Mountain</v>
      </c>
      <c r="B32" s="922">
        <f t="shared" si="0"/>
        <v>2</v>
      </c>
      <c r="C32" s="654" t="str" cm="1">
        <f t="array" ref="C32">getProgramXref($A32,numericItinerary(C$1))</f>
        <v/>
      </c>
      <c r="D32" s="72" t="str" cm="1">
        <f t="array" ref="D32">getProgramXref($A32,numericItinerary(D$1))</f>
        <v/>
      </c>
      <c r="E32" s="72" t="str" cm="1">
        <f t="array" ref="E32">getProgramXref($A32,numericItinerary(E$1))</f>
        <v/>
      </c>
      <c r="F32" s="72" t="str" cm="1">
        <f t="array" ref="F32">getProgramXref($A32,numericItinerary(F$1))</f>
        <v>x</v>
      </c>
      <c r="G32" s="72" t="str" cm="1">
        <f t="array" ref="G32">getProgramXref($A32,numericItinerary(G$1))</f>
        <v/>
      </c>
      <c r="H32" s="72" t="str" cm="1">
        <f t="array" ref="H32">getProgramXref($A32,numericItinerary(H$1))</f>
        <v/>
      </c>
      <c r="I32" s="72" t="str" cm="1">
        <f t="array" ref="I32">getProgramXref($A32,numericItinerary(I$1))</f>
        <v/>
      </c>
      <c r="J32" s="72" t="str" cm="1">
        <f t="array" ref="J32">getProgramXref($A32,numericItinerary(J$1))</f>
        <v/>
      </c>
      <c r="K32" s="72" t="str" cm="1">
        <f t="array" ref="K32">getProgramXref($A32,numericItinerary(K$1))</f>
        <v/>
      </c>
      <c r="L32" s="72" t="str" cm="1">
        <f t="array" ref="L32">getProgramXref($A32,numericItinerary(L$1))</f>
        <v>x</v>
      </c>
      <c r="M32" s="72" t="str" cm="1">
        <f t="array" ref="M32">getProgramXref($A32,numericItinerary(M$1))</f>
        <v/>
      </c>
      <c r="N32" s="179" t="str" cm="1">
        <f t="array" ref="N32">getProgramXref($A32,numericItinerary(N$1))</f>
        <v/>
      </c>
      <c r="P32" s="175">
        <f t="shared" si="1"/>
        <v>2</v>
      </c>
    </row>
    <row r="33" spans="1:16" s="68" customFormat="1" ht="22.5" customHeight="1" x14ac:dyDescent="0.2">
      <c r="A33" s="178" t="str">
        <f t="array" ref="A33">INDEX(program_table,ROW()-5)</f>
        <v>Landmarks: Inspiration Point</v>
      </c>
      <c r="B33" s="922">
        <f t="shared" si="0"/>
        <v>3</v>
      </c>
      <c r="C33" s="654" t="str" cm="1">
        <f t="array" ref="C33">getProgramXref($A33,numericItinerary(C$1))</f>
        <v/>
      </c>
      <c r="D33" s="72" t="str" cm="1">
        <f t="array" ref="D33">getProgramXref($A33,numericItinerary(D$1))</f>
        <v/>
      </c>
      <c r="E33" s="72" t="str" cm="1">
        <f t="array" ref="E33">getProgramXref($A33,numericItinerary(E$1))</f>
        <v/>
      </c>
      <c r="F33" s="72" t="str" cm="1">
        <f t="array" ref="F33">getProgramXref($A33,numericItinerary(F$1))</f>
        <v/>
      </c>
      <c r="G33" s="72" t="str" cm="1">
        <f t="array" ref="G33">getProgramXref($A33,numericItinerary(G$1))</f>
        <v>x</v>
      </c>
      <c r="H33" s="72" t="str" cm="1">
        <f t="array" ref="H33">getProgramXref($A33,numericItinerary(H$1))</f>
        <v/>
      </c>
      <c r="I33" s="72" t="str" cm="1">
        <f t="array" ref="I33">getProgramXref($A33,numericItinerary(I$1))</f>
        <v/>
      </c>
      <c r="J33" s="72" t="str" cm="1">
        <f t="array" ref="J33">getProgramXref($A33,numericItinerary(J$1))</f>
        <v/>
      </c>
      <c r="K33" s="72" t="str" cm="1">
        <f t="array" ref="K33">getProgramXref($A33,numericItinerary(K$1))</f>
        <v/>
      </c>
      <c r="L33" s="72" t="str" cm="1">
        <f t="array" ref="L33">getProgramXref($A33,numericItinerary(L$1))</f>
        <v>x</v>
      </c>
      <c r="M33" s="72" t="str" cm="1">
        <f t="array" ref="M33">getProgramXref($A33,numericItinerary(M$1))</f>
        <v>x</v>
      </c>
      <c r="N33" s="179" t="str" cm="1">
        <f t="array" ref="N33">getProgramXref($A33,numericItinerary(N$1))</f>
        <v/>
      </c>
      <c r="P33" s="175">
        <f t="shared" si="1"/>
        <v>3</v>
      </c>
    </row>
    <row r="34" spans="1:16" s="68" customFormat="1" ht="22.5" customHeight="1" x14ac:dyDescent="0.2">
      <c r="A34" s="178" t="str">
        <f t="array" ref="A34">INDEX(program_table,ROW()-5)</f>
        <v>Landmarks: Mount Phillips</v>
      </c>
      <c r="B34" s="922">
        <f t="shared" si="0"/>
        <v>2</v>
      </c>
      <c r="C34" s="654" t="str" cm="1">
        <f t="array" ref="C34">getProgramXref($A34,numericItinerary(C$1))</f>
        <v>x</v>
      </c>
      <c r="D34" s="72" t="str" cm="1">
        <f t="array" ref="D34">getProgramXref($A34,numericItinerary(D$1))</f>
        <v/>
      </c>
      <c r="E34" s="72" t="str" cm="1">
        <f t="array" ref="E34">getProgramXref($A34,numericItinerary(E$1))</f>
        <v/>
      </c>
      <c r="F34" s="72" t="str" cm="1">
        <f t="array" ref="F34">getProgramXref($A34,numericItinerary(F$1))</f>
        <v/>
      </c>
      <c r="G34" s="72" t="str" cm="1">
        <f t="array" ref="G34">getProgramXref($A34,numericItinerary(G$1))</f>
        <v/>
      </c>
      <c r="H34" s="72" t="str" cm="1">
        <f t="array" ref="H34">getProgramXref($A34,numericItinerary(H$1))</f>
        <v/>
      </c>
      <c r="I34" s="72" t="str" cm="1">
        <f t="array" ref="I34">getProgramXref($A34,numericItinerary(I$1))</f>
        <v/>
      </c>
      <c r="J34" s="72" t="str" cm="1">
        <f t="array" ref="J34">getProgramXref($A34,numericItinerary(J$1))</f>
        <v>x</v>
      </c>
      <c r="K34" s="72" t="str" cm="1">
        <f t="array" ref="K34">getProgramXref($A34,numericItinerary(K$1))</f>
        <v/>
      </c>
      <c r="L34" s="72" t="str" cm="1">
        <f t="array" ref="L34">getProgramXref($A34,numericItinerary(L$1))</f>
        <v/>
      </c>
      <c r="M34" s="72" t="str" cm="1">
        <f t="array" ref="M34">getProgramXref($A34,numericItinerary(M$1))</f>
        <v/>
      </c>
      <c r="N34" s="179" t="str" cm="1">
        <f t="array" ref="N34">getProgramXref($A34,numericItinerary(N$1))</f>
        <v/>
      </c>
      <c r="P34" s="175">
        <f t="shared" si="1"/>
        <v>2</v>
      </c>
    </row>
    <row r="35" spans="1:16" s="68" customFormat="1" ht="22.5" customHeight="1" x14ac:dyDescent="0.2">
      <c r="A35" s="178" t="str">
        <f t="array" ref="A35">INDEX(program_table,ROW()-5)</f>
        <v>Landmarks: Mountaineering</v>
      </c>
      <c r="B35" s="922">
        <f t="shared" si="0"/>
        <v>3</v>
      </c>
      <c r="C35" s="654" t="str" cm="1">
        <f t="array" ref="C35">getProgramXref($A35,numericItinerary(C$1))</f>
        <v/>
      </c>
      <c r="D35" s="72" t="str" cm="1">
        <f t="array" ref="D35">getProgramXref($A35,numericItinerary(D$1))</f>
        <v/>
      </c>
      <c r="E35" s="72" t="str" cm="1">
        <f t="array" ref="E35">getProgramXref($A35,numericItinerary(E$1))</f>
        <v/>
      </c>
      <c r="F35" s="72" t="str" cm="1">
        <f t="array" ref="F35">getProgramXref($A35,numericItinerary(F$1))</f>
        <v/>
      </c>
      <c r="G35" s="72" t="str" cm="1">
        <f t="array" ref="G35">getProgramXref($A35,numericItinerary(G$1))</f>
        <v/>
      </c>
      <c r="H35" s="72" t="str" cm="1">
        <f t="array" ref="H35">getProgramXref($A35,numericItinerary(H$1))</f>
        <v/>
      </c>
      <c r="I35" s="72" t="str" cm="1">
        <f t="array" ref="I35">getProgramXref($A35,numericItinerary(I$1))</f>
        <v>x</v>
      </c>
      <c r="J35" s="72" t="str" cm="1">
        <f t="array" ref="J35">getProgramXref($A35,numericItinerary(J$1))</f>
        <v/>
      </c>
      <c r="K35" s="72" t="str" cm="1">
        <f t="array" ref="K35">getProgramXref($A35,numericItinerary(K$1))</f>
        <v>x</v>
      </c>
      <c r="L35" s="72" t="str" cm="1">
        <f t="array" ref="L35">getProgramXref($A35,numericItinerary(L$1))</f>
        <v/>
      </c>
      <c r="M35" s="72" t="str" cm="1">
        <f t="array" ref="M35">getProgramXref($A35,numericItinerary(M$1))</f>
        <v/>
      </c>
      <c r="N35" s="179" t="str" cm="1">
        <f t="array" ref="N35">getProgramXref($A35,numericItinerary(N$1))</f>
        <v>x</v>
      </c>
      <c r="P35" s="175">
        <f t="shared" si="1"/>
        <v>3</v>
      </c>
    </row>
    <row r="36" spans="1:16" s="68" customFormat="1" ht="22.5" customHeight="1" x14ac:dyDescent="0.2">
      <c r="A36" s="178" t="str">
        <f t="array" ref="A36">INDEX(program_table,ROW()-5)</f>
        <v>Landmarks: Tooth of Time</v>
      </c>
      <c r="B36" s="922">
        <f t="shared" si="0"/>
        <v>6</v>
      </c>
      <c r="C36" s="654" t="str" cm="1">
        <f t="array" ref="C36">getProgramXref($A36,numericItinerary(C$1))</f>
        <v/>
      </c>
      <c r="D36" s="72" t="str" cm="1">
        <f t="array" ref="D36">getProgramXref($A36,numericItinerary(D$1))</f>
        <v/>
      </c>
      <c r="E36" s="72" t="str" cm="1">
        <f t="array" ref="E36">getProgramXref($A36,numericItinerary(E$1))</f>
        <v/>
      </c>
      <c r="F36" s="72" t="str" cm="1">
        <f t="array" ref="F36">getProgramXref($A36,numericItinerary(F$1))</f>
        <v/>
      </c>
      <c r="G36" s="72" t="str" cm="1">
        <f t="array" ref="G36">getProgramXref($A36,numericItinerary(G$1))</f>
        <v>x</v>
      </c>
      <c r="H36" s="72" t="str" cm="1">
        <f t="array" ref="H36">getProgramXref($A36,numericItinerary(H$1))</f>
        <v/>
      </c>
      <c r="I36" s="72" t="str" cm="1">
        <f t="array" ref="I36">getProgramXref($A36,numericItinerary(I$1))</f>
        <v/>
      </c>
      <c r="J36" s="72" t="str" cm="1">
        <f t="array" ref="J36">getProgramXref($A36,numericItinerary(J$1))</f>
        <v>x</v>
      </c>
      <c r="K36" s="72" t="str" cm="1">
        <f t="array" ref="K36">getProgramXref($A36,numericItinerary(K$1))</f>
        <v>x</v>
      </c>
      <c r="L36" s="72" t="str" cm="1">
        <f t="array" ref="L36">getProgramXref($A36,numericItinerary(L$1))</f>
        <v>x</v>
      </c>
      <c r="M36" s="72" t="str" cm="1">
        <f t="array" ref="M36">getProgramXref($A36,numericItinerary(M$1))</f>
        <v>x</v>
      </c>
      <c r="N36" s="179" t="str" cm="1">
        <f t="array" ref="N36">getProgramXref($A36,numericItinerary(N$1))</f>
        <v>x</v>
      </c>
      <c r="P36" s="175">
        <f t="shared" si="1"/>
        <v>6</v>
      </c>
    </row>
    <row r="37" spans="1:16" s="68" customFormat="1" ht="22.5" customHeight="1" x14ac:dyDescent="0.2">
      <c r="A37" s="178" t="str">
        <f t="array" ref="A37">INDEX(program_table,ROW()-5)</f>
        <v>Landmarks: Trail Peak</v>
      </c>
      <c r="B37" s="922">
        <f t="shared" si="0"/>
        <v>4</v>
      </c>
      <c r="C37" s="654" t="str" cm="1">
        <f t="array" ref="C37">getProgramXref($A37,numericItinerary(C$1))</f>
        <v/>
      </c>
      <c r="D37" s="72" t="str" cm="1">
        <f t="array" ref="D37">getProgramXref($A37,numericItinerary(D$1))</f>
        <v/>
      </c>
      <c r="E37" s="72" t="str" cm="1">
        <f t="array" ref="E37">getProgramXref($A37,numericItinerary(E$1))</f>
        <v>x</v>
      </c>
      <c r="F37" s="72" t="str" cm="1">
        <f t="array" ref="F37">getProgramXref($A37,numericItinerary(F$1))</f>
        <v>x</v>
      </c>
      <c r="G37" s="72" t="str" cm="1">
        <f t="array" ref="G37">getProgramXref($A37,numericItinerary(G$1))</f>
        <v/>
      </c>
      <c r="H37" s="72" t="str" cm="1">
        <f t="array" ref="H37">getProgramXref($A37,numericItinerary(H$1))</f>
        <v/>
      </c>
      <c r="I37" s="72" t="str" cm="1">
        <f t="array" ref="I37">getProgramXref($A37,numericItinerary(I$1))</f>
        <v/>
      </c>
      <c r="J37" s="72" t="str" cm="1">
        <f t="array" ref="J37">getProgramXref($A37,numericItinerary(J$1))</f>
        <v>x</v>
      </c>
      <c r="K37" s="72" t="str" cm="1">
        <f t="array" ref="K37">getProgramXref($A37,numericItinerary(K$1))</f>
        <v/>
      </c>
      <c r="L37" s="72" t="str" cm="1">
        <f t="array" ref="L37">getProgramXref($A37,numericItinerary(L$1))</f>
        <v/>
      </c>
      <c r="M37" s="72" t="str" cm="1">
        <f t="array" ref="M37">getProgramXref($A37,numericItinerary(M$1))</f>
        <v/>
      </c>
      <c r="N37" s="179" t="str" cm="1">
        <f t="array" ref="N37">getProgramXref($A37,numericItinerary(N$1))</f>
        <v>x</v>
      </c>
      <c r="P37" s="175">
        <f t="shared" si="1"/>
        <v>4</v>
      </c>
    </row>
    <row r="38" spans="1:16" s="68" customFormat="1" ht="22.5" customHeight="1" x14ac:dyDescent="0.2">
      <c r="A38" s="178" t="str">
        <f t="array" ref="A38">INDEX(program_table,ROW()-5)</f>
        <v>Livestock: Animal Husbandry</v>
      </c>
      <c r="B38" s="922">
        <f t="shared" ref="B38:B61" si="2">COUNTIF(C38:N38,"X")</f>
        <v>1</v>
      </c>
      <c r="C38" s="654" t="str" cm="1">
        <f t="array" ref="C38">getProgramXref($A38,numericItinerary(C$1))</f>
        <v/>
      </c>
      <c r="D38" s="72" t="str" cm="1">
        <f t="array" ref="D38">getProgramXref($A38,numericItinerary(D$1))</f>
        <v/>
      </c>
      <c r="E38" s="72" t="str" cm="1">
        <f t="array" ref="E38">getProgramXref($A38,numericItinerary(E$1))</f>
        <v/>
      </c>
      <c r="F38" s="72" t="str" cm="1">
        <f t="array" ref="F38">getProgramXref($A38,numericItinerary(F$1))</f>
        <v/>
      </c>
      <c r="G38" s="72" t="str" cm="1">
        <f t="array" ref="G38">getProgramXref($A38,numericItinerary(G$1))</f>
        <v/>
      </c>
      <c r="H38" s="72" t="str" cm="1">
        <f t="array" ref="H38">getProgramXref($A38,numericItinerary(H$1))</f>
        <v/>
      </c>
      <c r="I38" s="72" t="str" cm="1">
        <f t="array" ref="I38">getProgramXref($A38,numericItinerary(I$1))</f>
        <v/>
      </c>
      <c r="J38" s="72" t="str" cm="1">
        <f t="array" ref="J38">getProgramXref($A38,numericItinerary(J$1))</f>
        <v/>
      </c>
      <c r="K38" s="72" t="str" cm="1">
        <f t="array" ref="K38">getProgramXref($A38,numericItinerary(K$1))</f>
        <v/>
      </c>
      <c r="L38" s="72" t="str" cm="1">
        <f t="array" ref="L38">getProgramXref($A38,numericItinerary(L$1))</f>
        <v/>
      </c>
      <c r="M38" s="72" t="str" cm="1">
        <f t="array" ref="M38">getProgramXref($A38,numericItinerary(M$1))</f>
        <v/>
      </c>
      <c r="N38" s="179" t="str" cm="1">
        <f t="array" ref="N38">getProgramXref($A38,numericItinerary(N$1))</f>
        <v>x</v>
      </c>
      <c r="P38" s="175">
        <f t="shared" ref="P38:P54" si="3">COUNTIF(C38:N38,"X")</f>
        <v>1</v>
      </c>
    </row>
    <row r="39" spans="1:16" s="68" customFormat="1" ht="22.5" customHeight="1" x14ac:dyDescent="0.2">
      <c r="A39" s="178" t="str">
        <f t="array" ref="A39">INDEX(program_table,ROW()-5)</f>
        <v>Livestock: Burro Packing</v>
      </c>
      <c r="B39" s="922">
        <f t="shared" si="2"/>
        <v>7</v>
      </c>
      <c r="C39" s="654" t="str" cm="1">
        <f t="array" ref="C39">getProgramXref($A39,numericItinerary(C$1))</f>
        <v>x</v>
      </c>
      <c r="D39" s="72" t="str" cm="1">
        <f t="array" ref="D39">getProgramXref($A39,numericItinerary(D$1))</f>
        <v/>
      </c>
      <c r="E39" s="72" t="str" cm="1">
        <f t="array" ref="E39">getProgramXref($A39,numericItinerary(E$1))</f>
        <v/>
      </c>
      <c r="F39" s="72" t="str" cm="1">
        <f t="array" ref="F39">getProgramXref($A39,numericItinerary(F$1))</f>
        <v>x</v>
      </c>
      <c r="G39" s="72" t="str" cm="1">
        <f t="array" ref="G39">getProgramXref($A39,numericItinerary(G$1))</f>
        <v/>
      </c>
      <c r="H39" s="72" t="str" cm="1">
        <f t="array" ref="H39">getProgramXref($A39,numericItinerary(H$1))</f>
        <v>x</v>
      </c>
      <c r="I39" s="72" t="str" cm="1">
        <f t="array" ref="I39">getProgramXref($A39,numericItinerary(I$1))</f>
        <v/>
      </c>
      <c r="J39" s="72" t="str" cm="1">
        <f t="array" ref="J39">getProgramXref($A39,numericItinerary(J$1))</f>
        <v>x</v>
      </c>
      <c r="K39" s="72" t="str" cm="1">
        <f t="array" ref="K39">getProgramXref($A39,numericItinerary(K$1))</f>
        <v>x</v>
      </c>
      <c r="L39" s="72" t="str" cm="1">
        <f t="array" ref="L39">getProgramXref($A39,numericItinerary(L$1))</f>
        <v/>
      </c>
      <c r="M39" s="72" t="str" cm="1">
        <f t="array" ref="M39">getProgramXref($A39,numericItinerary(M$1))</f>
        <v>x</v>
      </c>
      <c r="N39" s="179" t="str" cm="1">
        <f t="array" ref="N39">getProgramXref($A39,numericItinerary(N$1))</f>
        <v>x</v>
      </c>
      <c r="P39" s="175">
        <f t="shared" si="3"/>
        <v>7</v>
      </c>
    </row>
    <row r="40" spans="1:16" s="68" customFormat="1" ht="22.5" customHeight="1" x14ac:dyDescent="0.2">
      <c r="A40" s="178" t="str">
        <f t="array" ref="A40">INDEX(program_table,ROW()-5)</f>
        <v>Livestock: Chicken Tending</v>
      </c>
      <c r="B40" s="922">
        <f t="shared" si="2"/>
        <v>1</v>
      </c>
      <c r="C40" s="654" t="str" cm="1">
        <f t="array" ref="C40">getProgramXref($A40,numericItinerary(C$1))</f>
        <v/>
      </c>
      <c r="D40" s="72" t="str" cm="1">
        <f t="array" ref="D40">getProgramXref($A40,numericItinerary(D$1))</f>
        <v/>
      </c>
      <c r="E40" s="72" t="str" cm="1">
        <f t="array" ref="E40">getProgramXref($A40,numericItinerary(E$1))</f>
        <v/>
      </c>
      <c r="F40" s="72" t="str" cm="1">
        <f t="array" ref="F40">getProgramXref($A40,numericItinerary(F$1))</f>
        <v/>
      </c>
      <c r="G40" s="72" t="str" cm="1">
        <f t="array" ref="G40">getProgramXref($A40,numericItinerary(G$1))</f>
        <v>x</v>
      </c>
      <c r="H40" s="72" t="str" cm="1">
        <f t="array" ref="H40">getProgramXref($A40,numericItinerary(H$1))</f>
        <v/>
      </c>
      <c r="I40" s="72" t="str" cm="1">
        <f t="array" ref="I40">getProgramXref($A40,numericItinerary(I$1))</f>
        <v/>
      </c>
      <c r="J40" s="72" t="str" cm="1">
        <f t="array" ref="J40">getProgramXref($A40,numericItinerary(J$1))</f>
        <v/>
      </c>
      <c r="K40" s="72" t="str" cm="1">
        <f t="array" ref="K40">getProgramXref($A40,numericItinerary(K$1))</f>
        <v/>
      </c>
      <c r="L40" s="72" t="str" cm="1">
        <f t="array" ref="L40">getProgramXref($A40,numericItinerary(L$1))</f>
        <v/>
      </c>
      <c r="M40" s="72" t="str" cm="1">
        <f t="array" ref="M40">getProgramXref($A40,numericItinerary(M$1))</f>
        <v/>
      </c>
      <c r="N40" s="179" t="str" cm="1">
        <f t="array" ref="N40">getProgramXref($A40,numericItinerary(N$1))</f>
        <v/>
      </c>
      <c r="P40" s="175">
        <f t="shared" si="3"/>
        <v>1</v>
      </c>
    </row>
    <row r="41" spans="1:16" s="68" customFormat="1" ht="22.5" customHeight="1" x14ac:dyDescent="0.2">
      <c r="A41" s="178" t="str">
        <f t="array" ref="A41">INDEX(program_table,ROW()-5)</f>
        <v>Livestock: Horse Rides</v>
      </c>
      <c r="B41" s="922">
        <f t="shared" si="2"/>
        <v>6</v>
      </c>
      <c r="C41" s="654" t="str" cm="1">
        <f t="array" ref="C41">getProgramXref($A41,numericItinerary(C$1))</f>
        <v>x</v>
      </c>
      <c r="D41" s="72" t="str" cm="1">
        <f t="array" ref="D41">getProgramXref($A41,numericItinerary(D$1))</f>
        <v/>
      </c>
      <c r="E41" s="72" t="str" cm="1">
        <f t="array" ref="E41">getProgramXref($A41,numericItinerary(E$1))</f>
        <v/>
      </c>
      <c r="F41" s="72" t="str" cm="1">
        <f t="array" ref="F41">getProgramXref($A41,numericItinerary(F$1))</f>
        <v>x</v>
      </c>
      <c r="G41" s="72" t="str" cm="1">
        <f t="array" ref="G41">getProgramXref($A41,numericItinerary(G$1))</f>
        <v/>
      </c>
      <c r="H41" s="72" t="str" cm="1">
        <f t="array" ref="H41">getProgramXref($A41,numericItinerary(H$1))</f>
        <v>x</v>
      </c>
      <c r="I41" s="72" t="str" cm="1">
        <f t="array" ref="I41">getProgramXref($A41,numericItinerary(I$1))</f>
        <v/>
      </c>
      <c r="J41" s="72" t="str" cm="1">
        <f t="array" ref="J41">getProgramXref($A41,numericItinerary(J$1))</f>
        <v>x</v>
      </c>
      <c r="K41" s="72" t="str" cm="1">
        <f t="array" ref="K41">getProgramXref($A41,numericItinerary(K$1))</f>
        <v>x</v>
      </c>
      <c r="L41" s="72" t="str" cm="1">
        <f t="array" ref="L41">getProgramXref($A41,numericItinerary(L$1))</f>
        <v/>
      </c>
      <c r="M41" s="72" t="str" cm="1">
        <f t="array" ref="M41">getProgramXref($A41,numericItinerary(M$1))</f>
        <v>x</v>
      </c>
      <c r="N41" s="179" t="str" cm="1">
        <f t="array" ref="N41">getProgramXref($A41,numericItinerary(N$1))</f>
        <v/>
      </c>
      <c r="P41" s="175">
        <f t="shared" si="3"/>
        <v>6</v>
      </c>
    </row>
    <row r="42" spans="1:16" s="68" customFormat="1" ht="22.5" customHeight="1" x14ac:dyDescent="0.2">
      <c r="A42" s="178" t="str">
        <f t="array" ref="A42">INDEX(program_table,ROW()-5)</f>
        <v>Low Impact Camping</v>
      </c>
      <c r="B42" s="922">
        <f t="shared" si="2"/>
        <v>3</v>
      </c>
      <c r="C42" s="654" t="str" cm="1">
        <f t="array" ref="C42">getProgramXref($A42,numericItinerary(C$1))</f>
        <v/>
      </c>
      <c r="D42" s="72" t="str" cm="1">
        <f t="array" ref="D42">getProgramXref($A42,numericItinerary(D$1))</f>
        <v>x</v>
      </c>
      <c r="E42" s="72" t="str" cm="1">
        <f t="array" ref="E42">getProgramXref($A42,numericItinerary(E$1))</f>
        <v>x</v>
      </c>
      <c r="F42" s="72" t="str" cm="1">
        <f t="array" ref="F42">getProgramXref($A42,numericItinerary(F$1))</f>
        <v>x</v>
      </c>
      <c r="G42" s="72" t="str" cm="1">
        <f t="array" ref="G42">getProgramXref($A42,numericItinerary(G$1))</f>
        <v/>
      </c>
      <c r="H42" s="72" t="str" cm="1">
        <f t="array" ref="H42">getProgramXref($A42,numericItinerary(H$1))</f>
        <v/>
      </c>
      <c r="I42" s="72" t="str" cm="1">
        <f t="array" ref="I42">getProgramXref($A42,numericItinerary(I$1))</f>
        <v/>
      </c>
      <c r="J42" s="72" t="str" cm="1">
        <f t="array" ref="J42">getProgramXref($A42,numericItinerary(J$1))</f>
        <v/>
      </c>
      <c r="K42" s="72" t="str" cm="1">
        <f t="array" ref="K42">getProgramXref($A42,numericItinerary(K$1))</f>
        <v/>
      </c>
      <c r="L42" s="72" t="str" cm="1">
        <f t="array" ref="L42">getProgramXref($A42,numericItinerary(L$1))</f>
        <v/>
      </c>
      <c r="M42" s="72" t="str" cm="1">
        <f t="array" ref="M42">getProgramXref($A42,numericItinerary(M$1))</f>
        <v/>
      </c>
      <c r="N42" s="179" t="str" cm="1">
        <f t="array" ref="N42">getProgramXref($A42,numericItinerary(N$1))</f>
        <v/>
      </c>
      <c r="P42" s="175">
        <f t="shared" si="3"/>
        <v>3</v>
      </c>
    </row>
    <row r="43" spans="1:16" s="68" customFormat="1" ht="22.5" customHeight="1" x14ac:dyDescent="0.2">
      <c r="A43" s="178" t="str">
        <f t="array" ref="A43">INDEX(program_table,ROW()-5)</f>
        <v>Range Sports: 3D Archery</v>
      </c>
      <c r="B43" s="922">
        <f t="shared" si="2"/>
        <v>2</v>
      </c>
      <c r="C43" s="654" t="str" cm="1">
        <f t="array" ref="C43">getProgramXref($A43,numericItinerary(C$1))</f>
        <v/>
      </c>
      <c r="D43" s="72" t="str" cm="1">
        <f t="array" ref="D43">getProgramXref($A43,numericItinerary(D$1))</f>
        <v/>
      </c>
      <c r="E43" s="72" t="str" cm="1">
        <f t="array" ref="E43">getProgramXref($A43,numericItinerary(E$1))</f>
        <v/>
      </c>
      <c r="F43" s="72" t="str" cm="1">
        <f t="array" ref="F43">getProgramXref($A43,numericItinerary(F$1))</f>
        <v/>
      </c>
      <c r="G43" s="72" t="str" cm="1">
        <f t="array" ref="G43">getProgramXref($A43,numericItinerary(G$1))</f>
        <v/>
      </c>
      <c r="H43" s="72" t="str" cm="1">
        <f t="array" ref="H43">getProgramXref($A43,numericItinerary(H$1))</f>
        <v>x</v>
      </c>
      <c r="I43" s="72" t="str" cm="1">
        <f t="array" ref="I43">getProgramXref($A43,numericItinerary(I$1))</f>
        <v/>
      </c>
      <c r="J43" s="72" t="str" cm="1">
        <f t="array" ref="J43">getProgramXref($A43,numericItinerary(J$1))</f>
        <v/>
      </c>
      <c r="K43" s="72" t="str" cm="1">
        <f t="array" ref="K43">getProgramXref($A43,numericItinerary(K$1))</f>
        <v/>
      </c>
      <c r="L43" s="72" t="str" cm="1">
        <f t="array" ref="L43">getProgramXref($A43,numericItinerary(L$1))</f>
        <v/>
      </c>
      <c r="M43" s="72" t="str" cm="1">
        <f t="array" ref="M43">getProgramXref($A43,numericItinerary(M$1))</f>
        <v>x</v>
      </c>
      <c r="N43" s="179" t="str" cm="1">
        <f t="array" ref="N43">getProgramXref($A43,numericItinerary(N$1))</f>
        <v/>
      </c>
      <c r="P43" s="175">
        <f t="shared" si="3"/>
        <v>2</v>
      </c>
    </row>
    <row r="44" spans="1:16" s="68" customFormat="1" ht="22.5" customHeight="1" x14ac:dyDescent="0.2">
      <c r="A44" s="178" t="str">
        <f t="array" ref="A44">INDEX(program_table,ROW()-5)</f>
        <v>Range Sports: Aerial Archery</v>
      </c>
      <c r="B44" s="922">
        <f t="shared" si="2"/>
        <v>4</v>
      </c>
      <c r="C44" s="654" t="str" cm="1">
        <f t="array" ref="C44">getProgramXref($A44,numericItinerary(C$1))</f>
        <v/>
      </c>
      <c r="D44" s="72" t="str" cm="1">
        <f t="array" ref="D44">getProgramXref($A44,numericItinerary(D$1))</f>
        <v>x</v>
      </c>
      <c r="E44" s="72" t="str" cm="1">
        <f t="array" ref="E44">getProgramXref($A44,numericItinerary(E$1))</f>
        <v>x</v>
      </c>
      <c r="F44" s="72" t="str" cm="1">
        <f t="array" ref="F44">getProgramXref($A44,numericItinerary(F$1))</f>
        <v/>
      </c>
      <c r="G44" s="72" t="str" cm="1">
        <f t="array" ref="G44">getProgramXref($A44,numericItinerary(G$1))</f>
        <v/>
      </c>
      <c r="H44" s="72" t="str" cm="1">
        <f t="array" ref="H44">getProgramXref($A44,numericItinerary(H$1))</f>
        <v/>
      </c>
      <c r="I44" s="72" t="str" cm="1">
        <f t="array" ref="I44">getProgramXref($A44,numericItinerary(I$1))</f>
        <v>x</v>
      </c>
      <c r="J44" s="72" t="str" cm="1">
        <f t="array" ref="J44">getProgramXref($A44,numericItinerary(J$1))</f>
        <v>x</v>
      </c>
      <c r="K44" s="72" t="str" cm="1">
        <f t="array" ref="K44">getProgramXref($A44,numericItinerary(K$1))</f>
        <v/>
      </c>
      <c r="L44" s="72" t="str" cm="1">
        <f t="array" ref="L44">getProgramXref($A44,numericItinerary(L$1))</f>
        <v/>
      </c>
      <c r="M44" s="72" t="str" cm="1">
        <f t="array" ref="M44">getProgramXref($A44,numericItinerary(M$1))</f>
        <v/>
      </c>
      <c r="N44" s="179" t="str" cm="1">
        <f t="array" ref="N44">getProgramXref($A44,numericItinerary(N$1))</f>
        <v/>
      </c>
      <c r="P44" s="175">
        <f t="shared" si="3"/>
        <v>4</v>
      </c>
    </row>
    <row r="45" spans="1:16" s="68" customFormat="1" ht="22.5" customHeight="1" x14ac:dyDescent="0.2">
      <c r="A45" s="178" t="str">
        <f t="array" ref="A45">INDEX(program_table,ROW()-5)</f>
        <v>Range Sports: Atlatl Throwing</v>
      </c>
      <c r="B45" s="922">
        <f t="shared" si="2"/>
        <v>3</v>
      </c>
      <c r="C45" s="654" t="str" cm="1">
        <f t="array" ref="C45">getProgramXref($A45,numericItinerary(C$1))</f>
        <v/>
      </c>
      <c r="D45" s="72" t="str" cm="1">
        <f t="array" ref="D45">getProgramXref($A45,numericItinerary(D$1))</f>
        <v>x</v>
      </c>
      <c r="E45" s="72" t="str" cm="1">
        <f t="array" ref="E45">getProgramXref($A45,numericItinerary(E$1))</f>
        <v/>
      </c>
      <c r="F45" s="72" t="str" cm="1">
        <f t="array" ref="F45">getProgramXref($A45,numericItinerary(F$1))</f>
        <v/>
      </c>
      <c r="G45" s="72" t="str" cm="1">
        <f t="array" ref="G45">getProgramXref($A45,numericItinerary(G$1))</f>
        <v/>
      </c>
      <c r="H45" s="72" t="str" cm="1">
        <f t="array" ref="H45">getProgramXref($A45,numericItinerary(H$1))</f>
        <v/>
      </c>
      <c r="I45" s="72" t="str" cm="1">
        <f t="array" ref="I45">getProgramXref($A45,numericItinerary(I$1))</f>
        <v>x</v>
      </c>
      <c r="J45" s="72" t="str" cm="1">
        <f t="array" ref="J45">getProgramXref($A45,numericItinerary(J$1))</f>
        <v>x</v>
      </c>
      <c r="K45" s="72" t="str" cm="1">
        <f t="array" ref="K45">getProgramXref($A45,numericItinerary(K$1))</f>
        <v/>
      </c>
      <c r="L45" s="72" t="str" cm="1">
        <f t="array" ref="L45">getProgramXref($A45,numericItinerary(L$1))</f>
        <v/>
      </c>
      <c r="M45" s="72" t="str" cm="1">
        <f t="array" ref="M45">getProgramXref($A45,numericItinerary(M$1))</f>
        <v/>
      </c>
      <c r="N45" s="179" t="str" cm="1">
        <f t="array" ref="N45">getProgramXref($A45,numericItinerary(N$1))</f>
        <v/>
      </c>
      <c r="P45" s="175">
        <f t="shared" si="3"/>
        <v>3</v>
      </c>
    </row>
    <row r="46" spans="1:16" s="68" customFormat="1" ht="22.5" customHeight="1" x14ac:dyDescent="0.2">
      <c r="A46" s="178" t="str">
        <f t="array" ref="A46">INDEX(program_table,ROW()-5)</f>
        <v>Range Sports: Cartridge Reloading</v>
      </c>
      <c r="B46" s="922">
        <f t="shared" si="2"/>
        <v>2</v>
      </c>
      <c r="C46" s="654" t="str" cm="1">
        <f t="array" ref="C46">getProgramXref($A46,numericItinerary(C$1))</f>
        <v/>
      </c>
      <c r="D46" s="72" t="str" cm="1">
        <f t="array" ref="D46">getProgramXref($A46,numericItinerary(D$1))</f>
        <v/>
      </c>
      <c r="E46" s="72" t="str" cm="1">
        <f t="array" ref="E46">getProgramXref($A46,numericItinerary(E$1))</f>
        <v/>
      </c>
      <c r="F46" s="72" t="str" cm="1">
        <f t="array" ref="F46">getProgramXref($A46,numericItinerary(F$1))</f>
        <v/>
      </c>
      <c r="G46" s="72" t="str" cm="1">
        <f t="array" ref="G46">getProgramXref($A46,numericItinerary(G$1))</f>
        <v>x</v>
      </c>
      <c r="H46" s="72" t="str" cm="1">
        <f t="array" ref="H46">getProgramXref($A46,numericItinerary(H$1))</f>
        <v>x</v>
      </c>
      <c r="I46" s="72" t="str" cm="1">
        <f t="array" ref="I46">getProgramXref($A46,numericItinerary(I$1))</f>
        <v/>
      </c>
      <c r="J46" s="72" t="str" cm="1">
        <f t="array" ref="J46">getProgramXref($A46,numericItinerary(J$1))</f>
        <v/>
      </c>
      <c r="K46" s="72" t="str" cm="1">
        <f t="array" ref="K46">getProgramXref($A46,numericItinerary(K$1))</f>
        <v/>
      </c>
      <c r="L46" s="72" t="str" cm="1">
        <f t="array" ref="L46">getProgramXref($A46,numericItinerary(L$1))</f>
        <v/>
      </c>
      <c r="M46" s="72" t="str" cm="1">
        <f t="array" ref="M46">getProgramXref($A46,numericItinerary(M$1))</f>
        <v/>
      </c>
      <c r="N46" s="179" t="str" cm="1">
        <f t="array" ref="N46">getProgramXref($A46,numericItinerary(N$1))</f>
        <v/>
      </c>
      <c r="P46" s="175">
        <f t="shared" si="3"/>
        <v>2</v>
      </c>
    </row>
    <row r="47" spans="1:16" s="68" customFormat="1" ht="22.5" customHeight="1" x14ac:dyDescent="0.2">
      <c r="A47" s="178" t="str">
        <f t="array" ref="A47">INDEX(program_table,ROW()-5)</f>
        <v>Range Sports: Cowboy Action Shooting</v>
      </c>
      <c r="B47" s="922">
        <f t="shared" si="2"/>
        <v>3</v>
      </c>
      <c r="C47" s="654" t="str" cm="1">
        <f t="array" ref="C47">getProgramXref($A47,numericItinerary(C$1))</f>
        <v/>
      </c>
      <c r="D47" s="72" t="str" cm="1">
        <f t="array" ref="D47">getProgramXref($A47,numericItinerary(D$1))</f>
        <v/>
      </c>
      <c r="E47" s="72" t="str" cm="1">
        <f t="array" ref="E47">getProgramXref($A47,numericItinerary(E$1))</f>
        <v>x</v>
      </c>
      <c r="F47" s="72" t="str" cm="1">
        <f t="array" ref="F47">getProgramXref($A47,numericItinerary(F$1))</f>
        <v/>
      </c>
      <c r="G47" s="72" t="str" cm="1">
        <f t="array" ref="G47">getProgramXref($A47,numericItinerary(G$1))</f>
        <v/>
      </c>
      <c r="H47" s="72" t="str" cm="1">
        <f t="array" ref="H47">getProgramXref($A47,numericItinerary(H$1))</f>
        <v/>
      </c>
      <c r="I47" s="72" t="str" cm="1">
        <f t="array" ref="I47">getProgramXref($A47,numericItinerary(I$1))</f>
        <v>x</v>
      </c>
      <c r="J47" s="72" t="str" cm="1">
        <f t="array" ref="J47">getProgramXref($A47,numericItinerary(J$1))</f>
        <v/>
      </c>
      <c r="K47" s="72" t="str" cm="1">
        <f t="array" ref="K47">getProgramXref($A47,numericItinerary(K$1))</f>
        <v/>
      </c>
      <c r="L47" s="72" t="str" cm="1">
        <f t="array" ref="L47">getProgramXref($A47,numericItinerary(L$1))</f>
        <v/>
      </c>
      <c r="M47" s="72" t="str" cm="1">
        <f t="array" ref="M47">getProgramXref($A47,numericItinerary(M$1))</f>
        <v/>
      </c>
      <c r="N47" s="179" t="str" cm="1">
        <f t="array" ref="N47">getProgramXref($A47,numericItinerary(N$1))</f>
        <v>x</v>
      </c>
      <c r="P47" s="175">
        <f t="shared" si="3"/>
        <v>3</v>
      </c>
    </row>
    <row r="48" spans="1:16" s="68" customFormat="1" ht="22.5" customHeight="1" x14ac:dyDescent="0.2">
      <c r="A48" s="178" t="str">
        <f t="array" ref="A48">INDEX(program_table,ROW()-5)</f>
        <v>Range Sports: Field Archery</v>
      </c>
      <c r="B48" s="922">
        <f t="shared" si="2"/>
        <v>1</v>
      </c>
      <c r="C48" s="654" t="str" cm="1">
        <f t="array" ref="C48">getProgramXref($A48,numericItinerary(C$1))</f>
        <v/>
      </c>
      <c r="D48" s="72" t="str" cm="1">
        <f t="array" ref="D48">getProgramXref($A48,numericItinerary(D$1))</f>
        <v>x</v>
      </c>
      <c r="E48" s="72" t="str" cm="1">
        <f t="array" ref="E48">getProgramXref($A48,numericItinerary(E$1))</f>
        <v/>
      </c>
      <c r="F48" s="72" t="str" cm="1">
        <f t="array" ref="F48">getProgramXref($A48,numericItinerary(F$1))</f>
        <v/>
      </c>
      <c r="G48" s="72" t="str" cm="1">
        <f t="array" ref="G48">getProgramXref($A48,numericItinerary(G$1))</f>
        <v/>
      </c>
      <c r="H48" s="72" t="str" cm="1">
        <f t="array" ref="H48">getProgramXref($A48,numericItinerary(H$1))</f>
        <v/>
      </c>
      <c r="I48" s="72" t="str" cm="1">
        <f t="array" ref="I48">getProgramXref($A48,numericItinerary(I$1))</f>
        <v/>
      </c>
      <c r="J48" s="72" t="str" cm="1">
        <f t="array" ref="J48">getProgramXref($A48,numericItinerary(J$1))</f>
        <v/>
      </c>
      <c r="K48" s="72" t="str" cm="1">
        <f t="array" ref="K48">getProgramXref($A48,numericItinerary(K$1))</f>
        <v/>
      </c>
      <c r="L48" s="72" t="str" cm="1">
        <f t="array" ref="L48">getProgramXref($A48,numericItinerary(L$1))</f>
        <v/>
      </c>
      <c r="M48" s="72" t="str" cm="1">
        <f t="array" ref="M48">getProgramXref($A48,numericItinerary(M$1))</f>
        <v/>
      </c>
      <c r="N48" s="179" t="str" cm="1">
        <f t="array" ref="N48">getProgramXref($A48,numericItinerary(N$1))</f>
        <v/>
      </c>
      <c r="P48" s="175">
        <f t="shared" si="3"/>
        <v>1</v>
      </c>
    </row>
    <row r="49" spans="1:16" s="68" customFormat="1" ht="22.5" customHeight="1" x14ac:dyDescent="0.2">
      <c r="A49" s="178" t="str">
        <f t="array" ref="A49">INDEX(program_table,ROW()-5)</f>
        <v>Range Sports: Muzzleloader Shooting</v>
      </c>
      <c r="B49" s="922">
        <f t="shared" si="2"/>
        <v>3</v>
      </c>
      <c r="C49" s="654" t="str" cm="1">
        <f t="array" ref="C49">getProgramXref($A49,numericItinerary(C$1))</f>
        <v/>
      </c>
      <c r="D49" s="72" t="str" cm="1">
        <f t="array" ref="D49">getProgramXref($A49,numericItinerary(D$1))</f>
        <v>x</v>
      </c>
      <c r="E49" s="72" t="str" cm="1">
        <f t="array" ref="E49">getProgramXref($A49,numericItinerary(E$1))</f>
        <v>x</v>
      </c>
      <c r="F49" s="72" t="str" cm="1">
        <f t="array" ref="F49">getProgramXref($A49,numericItinerary(F$1))</f>
        <v/>
      </c>
      <c r="G49" s="72" t="str" cm="1">
        <f t="array" ref="G49">getProgramXref($A49,numericItinerary(G$1))</f>
        <v/>
      </c>
      <c r="H49" s="72" t="str" cm="1">
        <f t="array" ref="H49">getProgramXref($A49,numericItinerary(H$1))</f>
        <v/>
      </c>
      <c r="I49" s="72" t="str" cm="1">
        <f t="array" ref="I49">getProgramXref($A49,numericItinerary(I$1))</f>
        <v>x</v>
      </c>
      <c r="J49" s="72" t="str" cm="1">
        <f t="array" ref="J49">getProgramXref($A49,numericItinerary(J$1))</f>
        <v/>
      </c>
      <c r="K49" s="72" t="str" cm="1">
        <f t="array" ref="K49">getProgramXref($A49,numericItinerary(K$1))</f>
        <v/>
      </c>
      <c r="L49" s="72" t="str" cm="1">
        <f t="array" ref="L49">getProgramXref($A49,numericItinerary(L$1))</f>
        <v/>
      </c>
      <c r="M49" s="72" t="str" cm="1">
        <f t="array" ref="M49">getProgramXref($A49,numericItinerary(M$1))</f>
        <v/>
      </c>
      <c r="N49" s="179" t="str" cm="1">
        <f t="array" ref="N49">getProgramXref($A49,numericItinerary(N$1))</f>
        <v/>
      </c>
      <c r="P49" s="175">
        <f t="shared" si="3"/>
        <v>3</v>
      </c>
    </row>
    <row r="50" spans="1:16" s="68" customFormat="1" ht="22.5" customHeight="1" x14ac:dyDescent="0.2">
      <c r="A50" s="178" t="str">
        <f t="array" ref="A50">INDEX(program_table,ROW()-5)</f>
        <v>Range Sports: Rifle Shooting</v>
      </c>
      <c r="B50" s="922">
        <f t="shared" si="2"/>
        <v>3</v>
      </c>
      <c r="C50" s="654" t="str" cm="1">
        <f t="array" ref="C50">getProgramXref($A50,numericItinerary(C$1))</f>
        <v>x</v>
      </c>
      <c r="D50" s="72" t="str" cm="1">
        <f t="array" ref="D50">getProgramXref($A50,numericItinerary(D$1))</f>
        <v/>
      </c>
      <c r="E50" s="72" t="str" cm="1">
        <f t="array" ref="E50">getProgramXref($A50,numericItinerary(E$1))</f>
        <v/>
      </c>
      <c r="F50" s="72" t="str" cm="1">
        <f t="array" ref="F50">getProgramXref($A50,numericItinerary(F$1))</f>
        <v>x</v>
      </c>
      <c r="G50" s="72" t="str" cm="1">
        <f t="array" ref="G50">getProgramXref($A50,numericItinerary(G$1))</f>
        <v/>
      </c>
      <c r="H50" s="72" t="str" cm="1">
        <f t="array" ref="H50">getProgramXref($A50,numericItinerary(H$1))</f>
        <v/>
      </c>
      <c r="I50" s="72" t="str" cm="1">
        <f t="array" ref="I50">getProgramXref($A50,numericItinerary(I$1))</f>
        <v/>
      </c>
      <c r="J50" s="72" t="str" cm="1">
        <f t="array" ref="J50">getProgramXref($A50,numericItinerary(J$1))</f>
        <v/>
      </c>
      <c r="K50" s="72" t="str" cm="1">
        <f t="array" ref="K50">getProgramXref($A50,numericItinerary(K$1))</f>
        <v/>
      </c>
      <c r="L50" s="72" t="str" cm="1">
        <f t="array" ref="L50">getProgramXref($A50,numericItinerary(L$1))</f>
        <v>x</v>
      </c>
      <c r="M50" s="72" t="str" cm="1">
        <f t="array" ref="M50">getProgramXref($A50,numericItinerary(M$1))</f>
        <v/>
      </c>
      <c r="N50" s="179" t="str" cm="1">
        <f t="array" ref="N50">getProgramXref($A50,numericItinerary(N$1))</f>
        <v/>
      </c>
      <c r="P50" s="175">
        <f t="shared" si="3"/>
        <v>3</v>
      </c>
    </row>
    <row r="51" spans="1:16" s="68" customFormat="1" ht="22.5" customHeight="1" x14ac:dyDescent="0.2">
      <c r="A51" s="178" t="str">
        <f t="array" ref="A51">INDEX(program_table,ROW()-5)</f>
        <v>Range Sports: Shotgun Shooting</v>
      </c>
      <c r="B51" s="922">
        <f t="shared" si="2"/>
        <v>3</v>
      </c>
      <c r="C51" s="654" t="str" cm="1">
        <f t="array" ref="C51">getProgramXref($A51,numericItinerary(C$1))</f>
        <v/>
      </c>
      <c r="D51" s="72" t="str" cm="1">
        <f t="array" ref="D51">getProgramXref($A51,numericItinerary(D$1))</f>
        <v/>
      </c>
      <c r="E51" s="72" t="str" cm="1">
        <f t="array" ref="E51">getProgramXref($A51,numericItinerary(E$1))</f>
        <v>x</v>
      </c>
      <c r="F51" s="72" t="str" cm="1">
        <f t="array" ref="F51">getProgramXref($A51,numericItinerary(F$1))</f>
        <v/>
      </c>
      <c r="G51" s="72" t="str" cm="1">
        <f t="array" ref="G51">getProgramXref($A51,numericItinerary(G$1))</f>
        <v/>
      </c>
      <c r="H51" s="72" t="str" cm="1">
        <f t="array" ref="H51">getProgramXref($A51,numericItinerary(H$1))</f>
        <v/>
      </c>
      <c r="I51" s="72" t="str" cm="1">
        <f t="array" ref="I51">getProgramXref($A51,numericItinerary(I$1))</f>
        <v>x</v>
      </c>
      <c r="J51" s="72" t="str" cm="1">
        <f t="array" ref="J51">getProgramXref($A51,numericItinerary(J$1))</f>
        <v/>
      </c>
      <c r="K51" s="72" t="str" cm="1">
        <f t="array" ref="K51">getProgramXref($A51,numericItinerary(K$1))</f>
        <v/>
      </c>
      <c r="L51" s="72" t="str" cm="1">
        <f t="array" ref="L51">getProgramXref($A51,numericItinerary(L$1))</f>
        <v/>
      </c>
      <c r="M51" s="72" t="str" cm="1">
        <f t="array" ref="M51">getProgramXref($A51,numericItinerary(M$1))</f>
        <v/>
      </c>
      <c r="N51" s="179" t="str" cm="1">
        <f t="array" ref="N51">getProgramXref($A51,numericItinerary(N$1))</f>
        <v>x</v>
      </c>
      <c r="P51" s="175">
        <f t="shared" si="3"/>
        <v>3</v>
      </c>
    </row>
    <row r="52" spans="1:16" s="68" customFormat="1" ht="22.5" customHeight="1" x14ac:dyDescent="0.2">
      <c r="A52" s="178" t="str">
        <f t="array" ref="A52">INDEX(program_table,ROW()-5)</f>
        <v>Range Sports: Shotshell Reloading</v>
      </c>
      <c r="B52" s="922">
        <f t="shared" si="2"/>
        <v>3</v>
      </c>
      <c r="C52" s="654" t="str" cm="1">
        <f t="array" ref="C52">getProgramXref($A52,numericItinerary(C$1))</f>
        <v/>
      </c>
      <c r="D52" s="72" t="str" cm="1">
        <f t="array" ref="D52">getProgramXref($A52,numericItinerary(D$1))</f>
        <v>x</v>
      </c>
      <c r="E52" s="72" t="str" cm="1">
        <f t="array" ref="E52">getProgramXref($A52,numericItinerary(E$1))</f>
        <v/>
      </c>
      <c r="F52" s="72" t="str" cm="1">
        <f t="array" ref="F52">getProgramXref($A52,numericItinerary(F$1))</f>
        <v/>
      </c>
      <c r="G52" s="72" t="str" cm="1">
        <f t="array" ref="G52">getProgramXref($A52,numericItinerary(G$1))</f>
        <v/>
      </c>
      <c r="H52" s="72" t="str" cm="1">
        <f t="array" ref="H52">getProgramXref($A52,numericItinerary(H$1))</f>
        <v/>
      </c>
      <c r="I52" s="72" t="str" cm="1">
        <f t="array" ref="I52">getProgramXref($A52,numericItinerary(I$1))</f>
        <v>x</v>
      </c>
      <c r="J52" s="72" t="str" cm="1">
        <f t="array" ref="J52">getProgramXref($A52,numericItinerary(J$1))</f>
        <v/>
      </c>
      <c r="K52" s="72" t="str" cm="1">
        <f t="array" ref="K52">getProgramXref($A52,numericItinerary(K$1))</f>
        <v/>
      </c>
      <c r="L52" s="72" t="str" cm="1">
        <f t="array" ref="L52">getProgramXref($A52,numericItinerary(L$1))</f>
        <v/>
      </c>
      <c r="M52" s="72" t="str" cm="1">
        <f t="array" ref="M52">getProgramXref($A52,numericItinerary(M$1))</f>
        <v/>
      </c>
      <c r="N52" s="179" t="str" cm="1">
        <f t="array" ref="N52">getProgramXref($A52,numericItinerary(N$1))</f>
        <v>x</v>
      </c>
      <c r="P52" s="175">
        <f t="shared" si="3"/>
        <v>3</v>
      </c>
    </row>
    <row r="53" spans="1:16" s="68" customFormat="1" ht="22.5" customHeight="1" x14ac:dyDescent="0.2">
      <c r="A53" s="178" t="str">
        <f t="array" ref="A53">INDEX(program_table,ROW()-5)</f>
        <v>Range Sports: Tomahawk Throwing</v>
      </c>
      <c r="B53" s="922">
        <f t="shared" si="2"/>
        <v>3</v>
      </c>
      <c r="C53" s="654" t="str" cm="1">
        <f t="array" ref="C53">getProgramXref($A53,numericItinerary(C$1))</f>
        <v/>
      </c>
      <c r="D53" s="72" t="str" cm="1">
        <f t="array" ref="D53">getProgramXref($A53,numericItinerary(D$1))</f>
        <v>x</v>
      </c>
      <c r="E53" s="72" t="str" cm="1">
        <f t="array" ref="E53">getProgramXref($A53,numericItinerary(E$1))</f>
        <v/>
      </c>
      <c r="F53" s="72" t="str" cm="1">
        <f t="array" ref="F53">getProgramXref($A53,numericItinerary(F$1))</f>
        <v/>
      </c>
      <c r="G53" s="72" t="str" cm="1">
        <f t="array" ref="G53">getProgramXref($A53,numericItinerary(G$1))</f>
        <v/>
      </c>
      <c r="H53" s="72" t="str" cm="1">
        <f t="array" ref="H53">getProgramXref($A53,numericItinerary(H$1))</f>
        <v/>
      </c>
      <c r="I53" s="72" t="str" cm="1">
        <f t="array" ref="I53">getProgramXref($A53,numericItinerary(I$1))</f>
        <v>x</v>
      </c>
      <c r="J53" s="72" t="str" cm="1">
        <f t="array" ref="J53">getProgramXref($A53,numericItinerary(J$1))</f>
        <v/>
      </c>
      <c r="K53" s="72" t="str" cm="1">
        <f t="array" ref="K53">getProgramXref($A53,numericItinerary(K$1))</f>
        <v/>
      </c>
      <c r="L53" s="72" t="str" cm="1">
        <f t="array" ref="L53">getProgramXref($A53,numericItinerary(L$1))</f>
        <v/>
      </c>
      <c r="M53" s="72" t="str" cm="1">
        <f t="array" ref="M53">getProgramXref($A53,numericItinerary(M$1))</f>
        <v/>
      </c>
      <c r="N53" s="179" t="str" cm="1">
        <f t="array" ref="N53">getProgramXref($A53,numericItinerary(N$1))</f>
        <v>x</v>
      </c>
      <c r="P53" s="175">
        <f t="shared" si="3"/>
        <v>3</v>
      </c>
    </row>
    <row r="54" spans="1:16" s="68" customFormat="1" ht="22.5" customHeight="1" x14ac:dyDescent="0.2">
      <c r="A54" s="178" t="str">
        <f t="array" ref="A54">INDEX(program_table,ROW()-5)</f>
        <v>STEM: Archeology</v>
      </c>
      <c r="B54" s="922">
        <f t="shared" si="2"/>
        <v>5</v>
      </c>
      <c r="C54" s="654" t="str" cm="1">
        <f t="array" ref="C54">getProgramXref($A54,numericItinerary(C$1))</f>
        <v/>
      </c>
      <c r="D54" s="72" t="str" cm="1">
        <f t="array" ref="D54">getProgramXref($A54,numericItinerary(D$1))</f>
        <v/>
      </c>
      <c r="E54" s="72" t="str" cm="1">
        <f t="array" ref="E54">getProgramXref($A54,numericItinerary(E$1))</f>
        <v/>
      </c>
      <c r="F54" s="72" t="str" cm="1">
        <f t="array" ref="F54">getProgramXref($A54,numericItinerary(F$1))</f>
        <v/>
      </c>
      <c r="G54" s="72" t="str" cm="1">
        <f t="array" ref="G54">getProgramXref($A54,numericItinerary(G$1))</f>
        <v>x</v>
      </c>
      <c r="H54" s="72" t="str" cm="1">
        <f t="array" ref="H54">getProgramXref($A54,numericItinerary(H$1))</f>
        <v/>
      </c>
      <c r="I54" s="72" t="str" cm="1">
        <f t="array" ref="I54">getProgramXref($A54,numericItinerary(I$1))</f>
        <v/>
      </c>
      <c r="J54" s="72" t="str" cm="1">
        <f t="array" ref="J54">getProgramXref($A54,numericItinerary(J$1))</f>
        <v/>
      </c>
      <c r="K54" s="72" t="str" cm="1">
        <f t="array" ref="K54">getProgramXref($A54,numericItinerary(K$1))</f>
        <v>x</v>
      </c>
      <c r="L54" s="72" t="str" cm="1">
        <f t="array" ref="L54">getProgramXref($A54,numericItinerary(L$1))</f>
        <v>x</v>
      </c>
      <c r="M54" s="72" t="str" cm="1">
        <f t="array" ref="M54">getProgramXref($A54,numericItinerary(M$1))</f>
        <v>x</v>
      </c>
      <c r="N54" s="179" t="str" cm="1">
        <f t="array" ref="N54">getProgramXref($A54,numericItinerary(N$1))</f>
        <v>x</v>
      </c>
      <c r="P54" s="175">
        <f t="shared" si="3"/>
        <v>5</v>
      </c>
    </row>
    <row r="55" spans="1:16" s="68" customFormat="1" ht="22.5" customHeight="1" x14ac:dyDescent="0.2">
      <c r="A55" s="178" t="str">
        <f t="array" ref="A55">INDEX(program_table,ROW()-5)</f>
        <v>STEM: Astronomy</v>
      </c>
      <c r="B55" s="922">
        <f t="shared" si="2"/>
        <v>4</v>
      </c>
      <c r="C55" s="654" t="str" cm="1">
        <f t="array" ref="C55">getProgramXref($A55,numericItinerary(C$1))</f>
        <v/>
      </c>
      <c r="D55" s="72" t="str" cm="1">
        <f t="array" ref="D55">getProgramXref($A55,numericItinerary(D$1))</f>
        <v/>
      </c>
      <c r="E55" s="72" t="str" cm="1">
        <f t="array" ref="E55">getProgramXref($A55,numericItinerary(E$1))</f>
        <v/>
      </c>
      <c r="F55" s="72" t="str" cm="1">
        <f t="array" ref="F55">getProgramXref($A55,numericItinerary(F$1))</f>
        <v/>
      </c>
      <c r="G55" s="72" t="str" cm="1">
        <f t="array" ref="G55">getProgramXref($A55,numericItinerary(G$1))</f>
        <v>x</v>
      </c>
      <c r="H55" s="72" t="str" cm="1">
        <f t="array" ref="H55">getProgramXref($A55,numericItinerary(H$1))</f>
        <v>x</v>
      </c>
      <c r="I55" s="72" t="str" cm="1">
        <f t="array" ref="I55">getProgramXref($A55,numericItinerary(I$1))</f>
        <v/>
      </c>
      <c r="J55" s="72" t="str" cm="1">
        <f t="array" ref="J55">getProgramXref($A55,numericItinerary(J$1))</f>
        <v/>
      </c>
      <c r="K55" s="72" t="str" cm="1">
        <f t="array" ref="K55">getProgramXref($A55,numericItinerary(K$1))</f>
        <v/>
      </c>
      <c r="L55" s="72" t="str" cm="1">
        <f t="array" ref="L55">getProgramXref($A55,numericItinerary(L$1))</f>
        <v>x</v>
      </c>
      <c r="M55" s="72" t="str" cm="1">
        <f t="array" ref="M55">getProgramXref($A55,numericItinerary(M$1))</f>
        <v>x</v>
      </c>
      <c r="N55" s="179" t="str" cm="1">
        <f t="array" ref="N55">getProgramXref($A55,numericItinerary(N$1))</f>
        <v/>
      </c>
      <c r="P55" s="175"/>
    </row>
    <row r="56" spans="1:16" s="68" customFormat="1" ht="22.5" customHeight="1" x14ac:dyDescent="0.2">
      <c r="A56" s="178" t="str">
        <f t="array" ref="A56">INDEX(program_table,ROW()-5)</f>
        <v>STEM: Geology</v>
      </c>
      <c r="B56" s="922">
        <f t="shared" si="2"/>
        <v>1</v>
      </c>
      <c r="C56" s="654" t="str" cm="1">
        <f t="array" ref="C56">getProgramXref($A56,numericItinerary(C$1))</f>
        <v/>
      </c>
      <c r="D56" s="72" t="str" cm="1">
        <f t="array" ref="D56">getProgramXref($A56,numericItinerary(D$1))</f>
        <v/>
      </c>
      <c r="E56" s="72" t="str" cm="1">
        <f t="array" ref="E56">getProgramXref($A56,numericItinerary(E$1))</f>
        <v/>
      </c>
      <c r="F56" s="72" t="str" cm="1">
        <f t="array" ref="F56">getProgramXref($A56,numericItinerary(F$1))</f>
        <v/>
      </c>
      <c r="G56" s="72" t="str" cm="1">
        <f t="array" ref="G56">getProgramXref($A56,numericItinerary(G$1))</f>
        <v/>
      </c>
      <c r="H56" s="72" t="str" cm="1">
        <f t="array" ref="H56">getProgramXref($A56,numericItinerary(H$1))</f>
        <v>x</v>
      </c>
      <c r="I56" s="72" t="str" cm="1">
        <f t="array" ref="I56">getProgramXref($A56,numericItinerary(I$1))</f>
        <v/>
      </c>
      <c r="J56" s="72" t="str" cm="1">
        <f t="array" ref="J56">getProgramXref($A56,numericItinerary(J$1))</f>
        <v/>
      </c>
      <c r="K56" s="72" t="str" cm="1">
        <f t="array" ref="K56">getProgramXref($A56,numericItinerary(K$1))</f>
        <v/>
      </c>
      <c r="L56" s="72" t="str" cm="1">
        <f t="array" ref="L56">getProgramXref($A56,numericItinerary(L$1))</f>
        <v/>
      </c>
      <c r="M56" s="72" t="str" cm="1">
        <f t="array" ref="M56">getProgramXref($A56,numericItinerary(M$1))</f>
        <v/>
      </c>
      <c r="N56" s="179" t="str" cm="1">
        <f t="array" ref="N56">getProgramXref($A56,numericItinerary(N$1))</f>
        <v/>
      </c>
      <c r="P56" s="175">
        <f t="shared" ref="P56:P61" si="4">COUNTIF(C56:N56,"X")</f>
        <v>1</v>
      </c>
    </row>
    <row r="57" spans="1:16" s="68" customFormat="1" ht="22.5" customHeight="1" x14ac:dyDescent="0.2">
      <c r="A57" s="178" t="str">
        <f t="array" ref="A57">INDEX(program_table,ROW()-5)</f>
        <v>Western Lore: Branding</v>
      </c>
      <c r="B57" s="922">
        <f t="shared" si="2"/>
        <v>5</v>
      </c>
      <c r="C57" s="654" t="str" cm="1">
        <f t="array" ref="C57">getProgramXref($A57,numericItinerary(C$1))</f>
        <v/>
      </c>
      <c r="D57" s="72" t="str" cm="1">
        <f t="array" ref="D57">getProgramXref($A57,numericItinerary(D$1))</f>
        <v/>
      </c>
      <c r="E57" s="72" t="str" cm="1">
        <f t="array" ref="E57">getProgramXref($A57,numericItinerary(E$1))</f>
        <v>x</v>
      </c>
      <c r="F57" s="72" t="str" cm="1">
        <f t="array" ref="F57">getProgramXref($A57,numericItinerary(F$1))</f>
        <v/>
      </c>
      <c r="G57" s="72" t="str" cm="1">
        <f t="array" ref="G57">getProgramXref($A57,numericItinerary(G$1))</f>
        <v>x</v>
      </c>
      <c r="H57" s="72" t="str" cm="1">
        <f t="array" ref="H57">getProgramXref($A57,numericItinerary(H$1))</f>
        <v/>
      </c>
      <c r="I57" s="72" t="str" cm="1">
        <f t="array" ref="I57">getProgramXref($A57,numericItinerary(I$1))</f>
        <v/>
      </c>
      <c r="J57" s="72" t="str" cm="1">
        <f t="array" ref="J57">getProgramXref($A57,numericItinerary(J$1))</f>
        <v/>
      </c>
      <c r="K57" s="72" t="str" cm="1">
        <f t="array" ref="K57">getProgramXref($A57,numericItinerary(K$1))</f>
        <v>x</v>
      </c>
      <c r="L57" s="72" t="str" cm="1">
        <f t="array" ref="L57">getProgramXref($A57,numericItinerary(L$1))</f>
        <v>x</v>
      </c>
      <c r="M57" s="72" t="str" cm="1">
        <f t="array" ref="M57">getProgramXref($A57,numericItinerary(M$1))</f>
        <v>x</v>
      </c>
      <c r="N57" s="179" t="str" cm="1">
        <f t="array" ref="N57">getProgramXref($A57,numericItinerary(N$1))</f>
        <v/>
      </c>
      <c r="P57" s="175">
        <f t="shared" si="4"/>
        <v>5</v>
      </c>
    </row>
    <row r="58" spans="1:16" s="68" customFormat="1" ht="22.5" customHeight="1" x14ac:dyDescent="0.2">
      <c r="A58" s="178" t="str">
        <f t="array" ref="A58">INDEX(program_table,ROW()-5)</f>
        <v>Western Lore: Cantina</v>
      </c>
      <c r="B58" s="922">
        <f t="shared" si="2"/>
        <v>10</v>
      </c>
      <c r="C58" s="654" t="str" cm="1">
        <f t="array" ref="C58">getProgramXref($A58,numericItinerary(C$1))</f>
        <v>x</v>
      </c>
      <c r="D58" s="72" t="str" cm="1">
        <f t="array" ref="D58">getProgramXref($A58,numericItinerary(D$1))</f>
        <v>x</v>
      </c>
      <c r="E58" s="72" t="str" cm="1">
        <f t="array" ref="E58">getProgramXref($A58,numericItinerary(E$1))</f>
        <v>x</v>
      </c>
      <c r="F58" s="72" t="str" cm="1">
        <f t="array" ref="F58">getProgramXref($A58,numericItinerary(F$1))</f>
        <v>x</v>
      </c>
      <c r="G58" s="72" t="str" cm="1">
        <f t="array" ref="G58">getProgramXref($A58,numericItinerary(G$1))</f>
        <v>x</v>
      </c>
      <c r="H58" s="72" t="str" cm="1">
        <f t="array" ref="H58">getProgramXref($A58,numericItinerary(H$1))</f>
        <v>x</v>
      </c>
      <c r="I58" s="72" t="str" cm="1">
        <f t="array" ref="I58">getProgramXref($A58,numericItinerary(I$1))</f>
        <v/>
      </c>
      <c r="J58" s="72" t="str" cm="1">
        <f t="array" ref="J58">getProgramXref($A58,numericItinerary(J$1))</f>
        <v>x</v>
      </c>
      <c r="K58" s="72" t="str" cm="1">
        <f t="array" ref="K58">getProgramXref($A58,numericItinerary(K$1))</f>
        <v>x</v>
      </c>
      <c r="L58" s="72" t="str" cm="1">
        <f t="array" ref="L58">getProgramXref($A58,numericItinerary(L$1))</f>
        <v>x</v>
      </c>
      <c r="M58" s="72" t="str" cm="1">
        <f t="array" ref="M58">getProgramXref($A58,numericItinerary(M$1))</f>
        <v/>
      </c>
      <c r="N58" s="179" t="str" cm="1">
        <f t="array" ref="N58">getProgramXref($A58,numericItinerary(N$1))</f>
        <v>x</v>
      </c>
      <c r="P58" s="175">
        <f t="shared" si="4"/>
        <v>10</v>
      </c>
    </row>
    <row r="59" spans="1:16" s="68" customFormat="1" ht="22.5" customHeight="1" x14ac:dyDescent="0.2">
      <c r="A59" s="178" t="str">
        <f t="array" ref="A59">INDEX(program_table,ROW()-5)</f>
        <v>Western Lore: Roping</v>
      </c>
      <c r="B59" s="922">
        <f t="shared" si="2"/>
        <v>8</v>
      </c>
      <c r="C59" s="654" t="str" cm="1">
        <f t="array" ref="C59">getProgramXref($A59,numericItinerary(C$1))</f>
        <v>x</v>
      </c>
      <c r="D59" s="72" t="str" cm="1">
        <f t="array" ref="D59">getProgramXref($A59,numericItinerary(D$1))</f>
        <v>x</v>
      </c>
      <c r="E59" s="72" t="str" cm="1">
        <f t="array" ref="E59">getProgramXref($A59,numericItinerary(E$1))</f>
        <v/>
      </c>
      <c r="F59" s="72" t="str" cm="1">
        <f t="array" ref="F59">getProgramXref($A59,numericItinerary(F$1))</f>
        <v>x</v>
      </c>
      <c r="G59" s="72" t="str" cm="1">
        <f t="array" ref="G59">getProgramXref($A59,numericItinerary(G$1))</f>
        <v>x</v>
      </c>
      <c r="H59" s="72" t="str" cm="1">
        <f t="array" ref="H59">getProgramXref($A59,numericItinerary(H$1))</f>
        <v>x</v>
      </c>
      <c r="I59" s="72" t="str" cm="1">
        <f t="array" ref="I59">getProgramXref($A59,numericItinerary(I$1))</f>
        <v/>
      </c>
      <c r="J59" s="72" t="str" cm="1">
        <f t="array" ref="J59">getProgramXref($A59,numericItinerary(J$1))</f>
        <v>x</v>
      </c>
      <c r="K59" s="72" t="str" cm="1">
        <f t="array" ref="K59">getProgramXref($A59,numericItinerary(K$1))</f>
        <v>x</v>
      </c>
      <c r="L59" s="72" t="str" cm="1">
        <f t="array" ref="L59">getProgramXref($A59,numericItinerary(L$1))</f>
        <v>x</v>
      </c>
      <c r="M59" s="72" t="str" cm="1">
        <f t="array" ref="M59">getProgramXref($A59,numericItinerary(M$1))</f>
        <v/>
      </c>
      <c r="N59" s="179" t="str" cm="1">
        <f t="array" ref="N59">getProgramXref($A59,numericItinerary(N$1))</f>
        <v/>
      </c>
      <c r="P59" s="175">
        <f t="shared" si="4"/>
        <v>8</v>
      </c>
    </row>
    <row r="60" spans="1:16" s="68" customFormat="1" ht="22.5" customHeight="1" x14ac:dyDescent="0.2">
      <c r="A60" s="178" t="e">
        <f t="array" ref="A60">INDEX(program_table,ROW()-5)</f>
        <v>#REF!</v>
      </c>
      <c r="B60" s="922">
        <f t="shared" si="2"/>
        <v>0</v>
      </c>
      <c r="C60" s="654" t="e" cm="1">
        <f t="array" ref="C60">getProgramXref($A60,numericItinerary(C$1))</f>
        <v>#VALUE!</v>
      </c>
      <c r="D60" s="72" t="e" cm="1">
        <f t="array" ref="D60">getProgramXref($A60,numericItinerary(D$1))</f>
        <v>#VALUE!</v>
      </c>
      <c r="E60" s="72" t="e" cm="1">
        <f t="array" ref="E60">getProgramXref($A60,numericItinerary(E$1))</f>
        <v>#VALUE!</v>
      </c>
      <c r="F60" s="72" t="e" cm="1">
        <f t="array" ref="F60">getProgramXref($A60,numericItinerary(F$1))</f>
        <v>#VALUE!</v>
      </c>
      <c r="G60" s="72" t="e" cm="1">
        <f t="array" ref="G60">getProgramXref($A60,numericItinerary(G$1))</f>
        <v>#VALUE!</v>
      </c>
      <c r="H60" s="72" t="e" cm="1">
        <f t="array" ref="H60">getProgramXref($A60,numericItinerary(H$1))</f>
        <v>#VALUE!</v>
      </c>
      <c r="I60" s="72" t="e" cm="1">
        <f t="array" ref="I60">getProgramXref($A60,numericItinerary(I$1))</f>
        <v>#VALUE!</v>
      </c>
      <c r="J60" s="72" t="e" cm="1">
        <f t="array" ref="J60">getProgramXref($A60,numericItinerary(J$1))</f>
        <v>#VALUE!</v>
      </c>
      <c r="K60" s="72" t="e" cm="1">
        <f t="array" ref="K60">getProgramXref($A60,numericItinerary(K$1))</f>
        <v>#VALUE!</v>
      </c>
      <c r="L60" s="72" t="e" cm="1">
        <f t="array" ref="L60">getProgramXref($A60,numericItinerary(L$1))</f>
        <v>#VALUE!</v>
      </c>
      <c r="M60" s="72" t="e" cm="1">
        <f t="array" ref="M60">getProgramXref($A60,numericItinerary(M$1))</f>
        <v>#VALUE!</v>
      </c>
      <c r="N60" s="179" t="e" cm="1">
        <f t="array" ref="N60">getProgramXref($A60,numericItinerary(N$1))</f>
        <v>#VALUE!</v>
      </c>
      <c r="P60" s="175">
        <f t="shared" si="4"/>
        <v>0</v>
      </c>
    </row>
    <row r="61" spans="1:16" s="68" customFormat="1" ht="22.5" customHeight="1" x14ac:dyDescent="0.2">
      <c r="A61" s="178" t="e">
        <f t="array" ref="A61">INDEX(program_table,ROW()-5)</f>
        <v>#REF!</v>
      </c>
      <c r="B61" s="922">
        <f t="shared" si="2"/>
        <v>0</v>
      </c>
      <c r="C61" s="654" t="e" cm="1">
        <f t="array" ref="C61">getProgramXref($A61,numericItinerary(C$1))</f>
        <v>#VALUE!</v>
      </c>
      <c r="D61" s="72" t="e" cm="1">
        <f t="array" ref="D61">getProgramXref($A61,numericItinerary(D$1))</f>
        <v>#VALUE!</v>
      </c>
      <c r="E61" s="72" t="e" cm="1">
        <f t="array" ref="E61">getProgramXref($A61,numericItinerary(E$1))</f>
        <v>#VALUE!</v>
      </c>
      <c r="F61" s="72" t="e" cm="1">
        <f t="array" ref="F61">getProgramXref($A61,numericItinerary(F$1))</f>
        <v>#VALUE!</v>
      </c>
      <c r="G61" s="72" t="e" cm="1">
        <f t="array" ref="G61">getProgramXref($A61,numericItinerary(G$1))</f>
        <v>#VALUE!</v>
      </c>
      <c r="H61" s="72" t="e" cm="1">
        <f t="array" ref="H61">getProgramXref($A61,numericItinerary(H$1))</f>
        <v>#VALUE!</v>
      </c>
      <c r="I61" s="72" t="e" cm="1">
        <f t="array" ref="I61">getProgramXref($A61,numericItinerary(I$1))</f>
        <v>#VALUE!</v>
      </c>
      <c r="J61" s="72" t="e" cm="1">
        <f t="array" ref="J61">getProgramXref($A61,numericItinerary(J$1))</f>
        <v>#VALUE!</v>
      </c>
      <c r="K61" s="72" t="e" cm="1">
        <f t="array" ref="K61">getProgramXref($A61,numericItinerary(K$1))</f>
        <v>#VALUE!</v>
      </c>
      <c r="L61" s="72" t="e" cm="1">
        <f t="array" ref="L61">getProgramXref($A61,numericItinerary(L$1))</f>
        <v>#VALUE!</v>
      </c>
      <c r="M61" s="72" t="e" cm="1">
        <f t="array" ref="M61">getProgramXref($A61,numericItinerary(M$1))</f>
        <v>#VALUE!</v>
      </c>
      <c r="N61" s="179" t="e" cm="1">
        <f t="array" ref="N61">getProgramXref($A61,numericItinerary(N$1))</f>
        <v>#VALUE!</v>
      </c>
      <c r="P61" s="175">
        <f t="shared" si="4"/>
        <v>0</v>
      </c>
    </row>
    <row r="62" spans="1:16" s="68" customFormat="1" ht="22.5" customHeight="1" thickBot="1" x14ac:dyDescent="0.25">
      <c r="A62" s="1204" t="s">
        <v>491</v>
      </c>
      <c r="B62" s="1205"/>
      <c r="C62" s="923">
        <f t="shared" ref="C62:N62" si="5">COUNTIF(C6:C61,"X")</f>
        <v>22</v>
      </c>
      <c r="D62" s="924">
        <f t="shared" si="5"/>
        <v>13</v>
      </c>
      <c r="E62" s="924">
        <f t="shared" si="5"/>
        <v>14</v>
      </c>
      <c r="F62" s="924">
        <f t="shared" si="5"/>
        <v>18</v>
      </c>
      <c r="G62" s="924">
        <f t="shared" si="5"/>
        <v>17</v>
      </c>
      <c r="H62" s="924">
        <f t="shared" si="5"/>
        <v>15</v>
      </c>
      <c r="I62" s="924">
        <f t="shared" si="5"/>
        <v>13</v>
      </c>
      <c r="J62" s="924">
        <f t="shared" si="5"/>
        <v>21</v>
      </c>
      <c r="K62" s="924">
        <f t="shared" si="5"/>
        <v>20</v>
      </c>
      <c r="L62" s="924">
        <f t="shared" si="5"/>
        <v>18</v>
      </c>
      <c r="M62" s="924">
        <f t="shared" si="5"/>
        <v>17</v>
      </c>
      <c r="N62" s="925">
        <f t="shared" si="5"/>
        <v>15</v>
      </c>
      <c r="P62" s="175" t="e">
        <f>COUNTIF(#REF!,"X")</f>
        <v>#REF!</v>
      </c>
    </row>
    <row r="63" spans="1:16" s="68" customFormat="1" ht="27" customHeight="1" x14ac:dyDescent="0.25">
      <c r="A63" s="61"/>
      <c r="B63" s="356"/>
      <c r="C63" s="70"/>
      <c r="D63" s="70"/>
      <c r="E63" s="70"/>
      <c r="F63" s="70"/>
      <c r="G63" s="70"/>
      <c r="H63" s="70"/>
      <c r="I63" s="70"/>
      <c r="J63" s="70"/>
      <c r="K63" s="70"/>
      <c r="L63" s="70"/>
      <c r="M63" s="70"/>
      <c r="N63" s="70"/>
      <c r="P63" s="175" t="e">
        <f>COUNTIF(#REF!,"X")</f>
        <v>#REF!</v>
      </c>
    </row>
    <row r="64" spans="1:16" s="68" customFormat="1" ht="27" customHeight="1" x14ac:dyDescent="0.25">
      <c r="A64" s="61"/>
      <c r="B64" s="356"/>
      <c r="C64" s="70"/>
      <c r="D64" s="70"/>
      <c r="E64" s="70"/>
      <c r="F64" s="70"/>
      <c r="G64" s="70"/>
      <c r="H64" s="70"/>
      <c r="I64" s="70"/>
      <c r="J64" s="70"/>
      <c r="K64" s="70"/>
      <c r="L64" s="70"/>
      <c r="M64" s="70"/>
      <c r="N64" s="70"/>
      <c r="P64" s="175" t="e">
        <f>COUNTIF(#REF!,"X")</f>
        <v>#REF!</v>
      </c>
    </row>
    <row r="65" spans="15:16" x14ac:dyDescent="0.25">
      <c r="O65" s="68"/>
      <c r="P65" s="61" t="e">
        <f>COUNTIF(#REF!,"X")</f>
        <v>#REF!</v>
      </c>
    </row>
    <row r="66" spans="15:16" x14ac:dyDescent="0.25">
      <c r="O66" s="68"/>
    </row>
  </sheetData>
  <sheetProtection sheet="1" objects="1" scenarios="1" selectLockedCells="1" selectUnlockedCells="1"/>
  <mergeCells count="2">
    <mergeCell ref="B1:B5"/>
    <mergeCell ref="A62:B62"/>
  </mergeCells>
  <conditionalFormatting sqref="A6:A61 C6:N61">
    <cfRule type="expression" dxfId="1" priority="2">
      <formula>IF(ISODD(ROW()),TRUE,FALSE)</formula>
    </cfRule>
  </conditionalFormatting>
  <printOptions horizontalCentered="1"/>
  <pageMargins left="0.25" right="0.25" top="0.7" bottom="0.45" header="0.47" footer="0.3"/>
  <pageSetup scale="38" orientation="landscape" r:id="rId1"/>
  <headerFooter>
    <oddHeader>&amp;C&amp;"Arial,Bold"&amp;20Programs Included in Itineraries</oddHeader>
    <oddFooter>&amp;L&amp;8&amp;F!&amp;A&amp;R&amp;8&amp;D &amp;T</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rgb="FFFFC000"/>
    <pageSetUpPr fitToPage="1"/>
  </sheetPr>
  <dimension ref="A1:S151"/>
  <sheetViews>
    <sheetView showGridLines="0" showRowColHeaders="0" zoomScale="80" zoomScaleNormal="80" workbookViewId="0">
      <pane ySplit="1" topLeftCell="A2" activePane="bottomLeft" state="frozenSplit"/>
      <selection activeCell="B14" sqref="B14"/>
      <selection pane="bottomLeft" activeCell="D2" sqref="D2"/>
    </sheetView>
  </sheetViews>
  <sheetFormatPr defaultRowHeight="12.75" x14ac:dyDescent="0.2"/>
  <cols>
    <col min="2" max="2" width="16.28515625" style="64" customWidth="1"/>
    <col min="3" max="3" width="35" style="104" customWidth="1"/>
    <col min="4" max="4" width="18" style="62" customWidth="1"/>
    <col min="5" max="7" width="9.140625" style="33"/>
    <col min="8" max="9" width="14.7109375" style="33" customWidth="1"/>
    <col min="10" max="10" width="10.7109375" style="33" customWidth="1"/>
    <col min="11" max="11" width="11.7109375" style="33" customWidth="1"/>
    <col min="12" max="12" width="9.140625" style="124" customWidth="1"/>
    <col min="13" max="13" width="9.85546875" style="33" customWidth="1"/>
    <col min="14" max="15" width="9.140625" style="147" customWidth="1"/>
    <col min="16" max="16" width="9.140625" style="33"/>
    <col min="17" max="18" width="9.28515625" bestFit="1" customWidth="1"/>
    <col min="20" max="20" width="11.28515625" customWidth="1"/>
  </cols>
  <sheetData>
    <row r="1" spans="1:19" s="80" customFormat="1" ht="13.5" thickBot="1" x14ac:dyDescent="0.25">
      <c r="A1" s="23" t="s">
        <v>27</v>
      </c>
      <c r="B1" s="77" t="s">
        <v>23</v>
      </c>
      <c r="C1" s="78" t="s">
        <v>21</v>
      </c>
      <c r="D1" s="79" t="s">
        <v>18</v>
      </c>
      <c r="E1" s="166"/>
      <c r="F1" s="718" t="s">
        <v>26</v>
      </c>
      <c r="G1" s="696" t="s">
        <v>382</v>
      </c>
      <c r="H1" s="697"/>
      <c r="I1" s="166"/>
      <c r="J1" s="166"/>
      <c r="K1" s="146" t="s">
        <v>24</v>
      </c>
      <c r="L1" s="168" t="s">
        <v>25</v>
      </c>
      <c r="M1" s="569"/>
      <c r="N1" s="569"/>
      <c r="O1" s="569"/>
      <c r="P1" s="570"/>
      <c r="Q1" s="166"/>
      <c r="R1" s="166"/>
      <c r="S1" s="166"/>
    </row>
    <row r="2" spans="1:19" ht="15.95" customHeight="1" thickBot="1" x14ac:dyDescent="0.25">
      <c r="A2" s="566"/>
      <c r="B2" s="567" t="s">
        <v>284</v>
      </c>
      <c r="C2" s="568" t="s">
        <v>430</v>
      </c>
      <c r="D2" s="698">
        <v>1.5</v>
      </c>
      <c r="E2" s="1206" t="s">
        <v>431</v>
      </c>
      <c r="F2" s="1207"/>
      <c r="G2" s="1207"/>
      <c r="H2" s="1207"/>
      <c r="I2" s="1207"/>
      <c r="J2" s="1207"/>
      <c r="K2" s="1207"/>
      <c r="L2" s="1222" t="s">
        <v>470</v>
      </c>
      <c r="M2" s="692" t="s">
        <v>26</v>
      </c>
      <c r="N2" s="690" t="s">
        <v>446</v>
      </c>
      <c r="O2" s="690" t="s">
        <v>22</v>
      </c>
      <c r="P2" s="691" t="s">
        <v>333</v>
      </c>
      <c r="Q2" s="170"/>
      <c r="R2" s="147"/>
      <c r="S2" s="147"/>
    </row>
    <row r="3" spans="1:19" ht="12.75" customHeight="1" x14ac:dyDescent="0.2">
      <c r="A3" s="81">
        <f>ROW()-2</f>
        <v>1</v>
      </c>
      <c r="B3" s="82" t="s">
        <v>398</v>
      </c>
      <c r="C3" s="63" t="str" cm="1">
        <f t="array" ref="C3" xml:space="preserve"> INDEX(program_table,A3,1)</f>
        <v>Climbing: Bouldering Gym</v>
      </c>
      <c r="D3" s="106">
        <f>SUM(Scores!B2:M2)</f>
        <v>152</v>
      </c>
      <c r="E3" s="147"/>
      <c r="F3" s="147"/>
      <c r="G3" s="147"/>
      <c r="H3" s="147"/>
      <c r="I3" s="147"/>
      <c r="J3" s="147"/>
      <c r="K3" s="167">
        <v>1</v>
      </c>
      <c r="L3" s="1223"/>
      <c r="M3" s="693">
        <f>SUM(Scores!$B2:M2)*programFactor</f>
        <v>228</v>
      </c>
      <c r="N3" s="688">
        <f>IF(COUNT(Scores!$B2:M2)&gt;0,AVERAGE(Scores!$B2:M2)*programFactor,0)</f>
        <v>19</v>
      </c>
      <c r="O3" s="688">
        <f>IF(COUNT(Scores!$B2:M2)&gt;0,MEDIAN(Scores!$B2:M2)*programFactor,0)</f>
        <v>22.5</v>
      </c>
      <c r="P3" s="689" cm="1">
        <f t="array" ref="P3">IF(getmode(Scores!$B2:M2)="","",getmode(Scores!$B2:M2)*programFactor)</f>
        <v>22.5</v>
      </c>
      <c r="Q3" s="170"/>
      <c r="R3" s="147"/>
      <c r="S3" s="147"/>
    </row>
    <row r="4" spans="1:19" ht="12.75" customHeight="1" x14ac:dyDescent="0.2">
      <c r="A4" s="81">
        <f t="shared" ref="A4:A56" si="0">ROW()-2</f>
        <v>2</v>
      </c>
      <c r="B4" s="82" t="s">
        <v>398</v>
      </c>
      <c r="C4" s="63" t="str" cm="1">
        <f t="array" ref="C4" xml:space="preserve"> INDEX(program_table,A4,1)</f>
        <v>Climbing: Climbing Wall/Tower</v>
      </c>
      <c r="D4" s="106">
        <f>SUM(Scores!B3:M3)</f>
        <v>225</v>
      </c>
      <c r="E4" s="147"/>
      <c r="F4" s="147"/>
      <c r="G4" s="147"/>
      <c r="H4" s="147"/>
      <c r="I4" s="147"/>
      <c r="J4" s="147"/>
      <c r="K4" s="167">
        <v>2</v>
      </c>
      <c r="L4" s="1223"/>
      <c r="M4" s="694" cm="1">
        <f t="array" ref="M4">SUM(Scores!$B3:M3)*programFactor</f>
        <v>337.5</v>
      </c>
      <c r="N4" s="684">
        <f>IF(COUNT(Scores!$B3:M3)&gt;0,AVERAGE(Scores!$B3:M3)*programFactor,0)</f>
        <v>28.125</v>
      </c>
      <c r="O4" s="684">
        <f>IF(COUNT(Scores!$B3:M3)&gt;0,MEDIAN(Scores!$B3:M3)*programFactor,0)</f>
        <v>30</v>
      </c>
      <c r="P4" s="685" cm="1">
        <f t="array" ref="P4">IF(getmode(Scores!$B3:M3)="","",getmode(Scores!$B3:M3)*programFactor)</f>
        <v>30</v>
      </c>
      <c r="Q4" s="170"/>
      <c r="R4" s="147"/>
      <c r="S4" s="147"/>
    </row>
    <row r="5" spans="1:19" ht="12.75" customHeight="1" x14ac:dyDescent="0.2">
      <c r="A5" s="81">
        <f t="shared" si="0"/>
        <v>3</v>
      </c>
      <c r="B5" s="82" t="s">
        <v>398</v>
      </c>
      <c r="C5" s="63" t="str" cm="1">
        <f t="array" ref="C5" xml:space="preserve"> INDEX(program_table,A5,1)</f>
        <v>Climbing: Crate Stacking</v>
      </c>
      <c r="D5" s="106">
        <f>SUM(Scores!B4:M4)</f>
        <v>76</v>
      </c>
      <c r="E5" s="147"/>
      <c r="F5" s="147"/>
      <c r="G5" s="147"/>
      <c r="H5" s="147"/>
      <c r="I5" s="147"/>
      <c r="J5" s="147"/>
      <c r="K5" s="167">
        <v>3</v>
      </c>
      <c r="L5" s="1223"/>
      <c r="M5" s="694" cm="1">
        <f t="array" ref="M5">SUM(Scores!$B4:M4)*programFactor</f>
        <v>114</v>
      </c>
      <c r="N5" s="684">
        <f>IF(COUNT(Scores!$B4:M4)&gt;0,AVERAGE(Scores!$B4:M4)*programFactor,0)</f>
        <v>9.5</v>
      </c>
      <c r="O5" s="684">
        <f>IF(COUNT(Scores!$B4:M4)&gt;0,MEDIAN(Scores!$B4:M4)*programFactor,0)</f>
        <v>10.5</v>
      </c>
      <c r="P5" s="685" cm="1">
        <f t="array" ref="P5">IF(getmode(Scores!$B4:M4)="","",getmode(Scores!$B4:M4)*programFactor)</f>
        <v>3</v>
      </c>
      <c r="Q5" s="170"/>
      <c r="R5" s="147"/>
      <c r="S5" s="147"/>
    </row>
    <row r="6" spans="1:19" ht="12.75" customHeight="1" x14ac:dyDescent="0.2">
      <c r="A6" s="81">
        <f t="shared" si="0"/>
        <v>4</v>
      </c>
      <c r="B6" s="82" t="s">
        <v>398</v>
      </c>
      <c r="C6" s="63" t="str" cm="1">
        <f t="array" ref="C6" xml:space="preserve"> INDEX(program_table,A6,1)</f>
        <v>Climbing: Rock Climbing</v>
      </c>
      <c r="D6" s="106">
        <f>SUM(Scores!B5:M5)</f>
        <v>188</v>
      </c>
      <c r="E6" s="147"/>
      <c r="F6" s="147"/>
      <c r="G6" s="147"/>
      <c r="H6" s="147"/>
      <c r="I6" s="147"/>
      <c r="J6" s="147"/>
      <c r="K6" s="167">
        <v>4</v>
      </c>
      <c r="L6" s="1223"/>
      <c r="M6" s="694" cm="1">
        <f t="array" ref="M6">SUM(Scores!$B5:M5)*programFactor</f>
        <v>282</v>
      </c>
      <c r="N6" s="684">
        <f>IF(COUNT(Scores!$B5:M5)&gt;0,AVERAGE(Scores!$B5:M5)*programFactor,0)</f>
        <v>23.5</v>
      </c>
      <c r="O6" s="684">
        <f>IF(COUNT(Scores!$B5:M5)&gt;0,MEDIAN(Scores!$B5:M5)*programFactor,0)</f>
        <v>27</v>
      </c>
      <c r="P6" s="685" cm="1">
        <f t="array" ref="P6">IF(getmode(Scores!$B5:M5)="","",getmode(Scores!$B5:M5)*programFactor)</f>
        <v>27</v>
      </c>
      <c r="Q6" s="170"/>
      <c r="R6" s="147"/>
      <c r="S6" s="147"/>
    </row>
    <row r="7" spans="1:19" ht="12.75" customHeight="1" x14ac:dyDescent="0.2">
      <c r="A7" s="81">
        <f t="shared" si="0"/>
        <v>5</v>
      </c>
      <c r="B7" s="82" t="s">
        <v>398</v>
      </c>
      <c r="C7" s="63" t="str" cm="1">
        <f t="array" ref="C7" xml:space="preserve"> INDEX(program_table,A7,1)</f>
        <v>COPE: High Challenge Course</v>
      </c>
      <c r="D7" s="106">
        <f>SUM(Scores!B6:M6)</f>
        <v>108</v>
      </c>
      <c r="E7" s="147"/>
      <c r="F7" s="147"/>
      <c r="G7" s="147"/>
      <c r="H7" s="147"/>
      <c r="I7" s="147"/>
      <c r="J7" s="147"/>
      <c r="K7" s="167">
        <v>5</v>
      </c>
      <c r="L7" s="1223"/>
      <c r="M7" s="694" cm="1">
        <f t="array" ref="M7">SUM(Scores!$B6:M6)*programFactor</f>
        <v>162</v>
      </c>
      <c r="N7" s="684">
        <f>IF(COUNT(Scores!$B6:M6)&gt;0,AVERAGE(Scores!$B6:M6)*programFactor,0)</f>
        <v>13.5</v>
      </c>
      <c r="O7" s="684">
        <f>IF(COUNT(Scores!$B6:M6)&gt;0,MEDIAN(Scores!$B6:M6)*programFactor,0)</f>
        <v>12.75</v>
      </c>
      <c r="P7" s="685" cm="1">
        <f t="array" ref="P7">IF(getmode(Scores!$B6:M6)="","",getmode(Scores!$B6:M6)*programFactor)</f>
        <v>0</v>
      </c>
      <c r="Q7" s="147"/>
      <c r="R7" s="147"/>
      <c r="S7" s="147"/>
    </row>
    <row r="8" spans="1:19" ht="12.75" customHeight="1" x14ac:dyDescent="0.2">
      <c r="A8" s="81">
        <f t="shared" si="0"/>
        <v>6</v>
      </c>
      <c r="B8" s="82" t="s">
        <v>398</v>
      </c>
      <c r="C8" s="63" t="str" cm="1">
        <f t="array" ref="C8" xml:space="preserve"> INDEX(program_table,A8,1)</f>
        <v>COPE: Initiative Games</v>
      </c>
      <c r="D8" s="106">
        <f>SUM(Scores!B7:M7)</f>
        <v>111</v>
      </c>
      <c r="E8" s="147"/>
      <c r="F8" s="147"/>
      <c r="G8" s="147"/>
      <c r="H8" s="147"/>
      <c r="I8" s="147"/>
      <c r="J8" s="147"/>
      <c r="K8" s="167">
        <v>6</v>
      </c>
      <c r="L8" s="1223"/>
      <c r="M8" s="694" cm="1">
        <f t="array" ref="M8">SUM(Scores!$B7:M7)*programFactor</f>
        <v>166.5</v>
      </c>
      <c r="N8" s="684">
        <f>IF(COUNT(Scores!$B7:M7)&gt;0,AVERAGE(Scores!$B7:M7)*programFactor,0)</f>
        <v>13.875</v>
      </c>
      <c r="O8" s="684">
        <f>IF(COUNT(Scores!$B7:M7)&gt;0,MEDIAN(Scores!$B7:M7)*programFactor,0)</f>
        <v>14.25</v>
      </c>
      <c r="P8" s="685" cm="1">
        <f t="array" ref="P8">IF(getmode(Scores!$B7:M7)="","",getmode(Scores!$B7:M7)*programFactor)</f>
        <v>0</v>
      </c>
      <c r="Q8" s="147"/>
      <c r="R8" s="147"/>
      <c r="S8" s="147"/>
    </row>
    <row r="9" spans="1:19" ht="12.75" customHeight="1" x14ac:dyDescent="0.2">
      <c r="A9" s="81">
        <f t="shared" si="0"/>
        <v>7</v>
      </c>
      <c r="B9" s="82" t="s">
        <v>398</v>
      </c>
      <c r="C9" s="63" t="str" cm="1">
        <f t="array" ref="C9" xml:space="preserve"> INDEX(program_table,A9,1)</f>
        <v>COPE: Low Challenge Course</v>
      </c>
      <c r="D9" s="106">
        <f>SUM(Scores!B8:M8)</f>
        <v>111</v>
      </c>
      <c r="E9" s="147"/>
      <c r="F9" s="147"/>
      <c r="G9" s="147"/>
      <c r="H9" s="147"/>
      <c r="I9" s="147"/>
      <c r="J9" s="147"/>
      <c r="K9" s="167">
        <v>7</v>
      </c>
      <c r="L9" s="1223"/>
      <c r="M9" s="694" cm="1">
        <f t="array" ref="M9">SUM(Scores!$B8:M8)*programFactor</f>
        <v>166.5</v>
      </c>
      <c r="N9" s="684">
        <f>IF(COUNT(Scores!$B8:M8)&gt;0,AVERAGE(Scores!$B8:M8)*programFactor,0)</f>
        <v>13.875</v>
      </c>
      <c r="O9" s="684">
        <f>IF(COUNT(Scores!$B8:M8)&gt;0,MEDIAN(Scores!$B8:M8)*programFactor,0)</f>
        <v>14.25</v>
      </c>
      <c r="P9" s="685" cm="1">
        <f t="array" ref="P9">IF(getmode(Scores!$B8:M8)="","",getmode(Scores!$B8:M8)*programFactor)</f>
        <v>0</v>
      </c>
      <c r="Q9" s="147"/>
      <c r="R9" s="147"/>
      <c r="S9" s="147"/>
    </row>
    <row r="10" spans="1:19" ht="12.75" customHeight="1" x14ac:dyDescent="0.2">
      <c r="A10" s="81">
        <f t="shared" si="0"/>
        <v>8</v>
      </c>
      <c r="B10" s="82" t="s">
        <v>398</v>
      </c>
      <c r="C10" s="63" t="str" cm="1">
        <f t="array" ref="C10" xml:space="preserve"> INDEX(program_table,A10,1)</f>
        <v>Ecology: Demonstration Forest</v>
      </c>
      <c r="D10" s="106">
        <f>SUM(Scores!B9:M9)</f>
        <v>84</v>
      </c>
      <c r="E10" s="147"/>
      <c r="F10" s="147"/>
      <c r="G10" s="147"/>
      <c r="H10" s="147"/>
      <c r="I10" s="147"/>
      <c r="J10" s="147"/>
      <c r="K10" s="167">
        <v>8</v>
      </c>
      <c r="L10" s="1223"/>
      <c r="M10" s="694" cm="1">
        <f t="array" ref="M10">SUM(Scores!$B9:M9)*programFactor</f>
        <v>126</v>
      </c>
      <c r="N10" s="684">
        <f>IF(COUNT(Scores!$B9:M9)&gt;0,AVERAGE(Scores!$B9:M9)*programFactor,0)</f>
        <v>10.5</v>
      </c>
      <c r="O10" s="684">
        <f>IF(COUNT(Scores!$B9:M9)&gt;0,MEDIAN(Scores!$B9:M9)*programFactor,0)</f>
        <v>9</v>
      </c>
      <c r="P10" s="685" cm="1">
        <f t="array" ref="P10">IF(getmode(Scores!$B9:M9)="","",getmode(Scores!$B9:M9)*programFactor)</f>
        <v>0</v>
      </c>
      <c r="Q10" s="147"/>
      <c r="R10" s="147"/>
      <c r="S10" s="147"/>
    </row>
    <row r="11" spans="1:19" ht="12.75" customHeight="1" x14ac:dyDescent="0.2">
      <c r="A11" s="81">
        <f t="shared" si="0"/>
        <v>9</v>
      </c>
      <c r="B11" s="82" t="s">
        <v>398</v>
      </c>
      <c r="C11" s="63" t="str" cm="1">
        <f t="array" ref="C11" xml:space="preserve"> INDEX(program_table,A11,1)</f>
        <v>Ecology: Self-Guided Fishing</v>
      </c>
      <c r="D11" s="106">
        <f>SUM(Scores!B10:M10)</f>
        <v>87</v>
      </c>
      <c r="E11" s="147"/>
      <c r="F11" s="147"/>
      <c r="G11" s="147"/>
      <c r="H11" s="147"/>
      <c r="I11" s="147"/>
      <c r="J11" s="147"/>
      <c r="K11" s="167">
        <v>9</v>
      </c>
      <c r="L11" s="1223"/>
      <c r="M11" s="694" cm="1">
        <f t="array" ref="M11">SUM(Scores!$B10:M10)*programFactor</f>
        <v>130.5</v>
      </c>
      <c r="N11" s="684">
        <f>IF(COUNT(Scores!$B10:M10)&gt;0,AVERAGE(Scores!$B10:M10)*programFactor,0)</f>
        <v>10.875</v>
      </c>
      <c r="O11" s="684">
        <f>IF(COUNT(Scores!$B10:M10)&gt;0,MEDIAN(Scores!$B10:M10)*programFactor,0)</f>
        <v>13.5</v>
      </c>
      <c r="P11" s="685" cm="1">
        <f t="array" ref="P11">IF(getmode(Scores!$B10:M10)="","",getmode(Scores!$B10:M10)*programFactor)</f>
        <v>0</v>
      </c>
      <c r="Q11" s="147"/>
      <c r="R11" s="147"/>
      <c r="S11" s="147"/>
    </row>
    <row r="12" spans="1:19" ht="12.75" customHeight="1" x14ac:dyDescent="0.2">
      <c r="A12" s="81">
        <f t="shared" si="0"/>
        <v>10</v>
      </c>
      <c r="B12" s="82" t="s">
        <v>398</v>
      </c>
      <c r="C12" s="63" t="str" cm="1">
        <f t="array" ref="C12" xml:space="preserve"> INDEX(program_table,A12,1)</f>
        <v>Evening: Advisor Coffee</v>
      </c>
      <c r="D12" s="106">
        <f>SUM(Scores!B11:M11)</f>
        <v>61</v>
      </c>
      <c r="E12" s="147"/>
      <c r="F12" s="147"/>
      <c r="G12" s="147"/>
      <c r="H12" s="147"/>
      <c r="I12" s="147"/>
      <c r="J12" s="147"/>
      <c r="K12" s="167">
        <v>10</v>
      </c>
      <c r="L12" s="1223"/>
      <c r="M12" s="694" cm="1">
        <f t="array" ref="M12">SUM(Scores!$B11:M11)*programFactor</f>
        <v>91.5</v>
      </c>
      <c r="N12" s="684">
        <f>IF(COUNT(Scores!$B11:M11)&gt;0,AVERAGE(Scores!$B11:M11)*programFactor,0)</f>
        <v>8.3181818181818183</v>
      </c>
      <c r="O12" s="684">
        <f>IF(COUNT(Scores!$B11:M11)&gt;0,MEDIAN(Scores!$B11:M11)*programFactor,0)</f>
        <v>7.5</v>
      </c>
      <c r="P12" s="685" cm="1">
        <f t="array" ref="P12">IF(getmode(Scores!$B11:M11)="","",getmode(Scores!$B11:M11)*programFactor)</f>
        <v>0</v>
      </c>
      <c r="Q12" s="147"/>
      <c r="R12" s="147"/>
      <c r="S12" s="147"/>
    </row>
    <row r="13" spans="1:19" ht="12.75" customHeight="1" x14ac:dyDescent="0.2">
      <c r="A13" s="81">
        <f t="shared" si="0"/>
        <v>11</v>
      </c>
      <c r="B13" s="82" t="s">
        <v>398</v>
      </c>
      <c r="C13" s="63" t="str" cm="1">
        <f t="array" ref="C13" xml:space="preserve"> INDEX(program_table,A13,1)</f>
        <v>Evening: Campfire Show</v>
      </c>
      <c r="D13" s="106">
        <f>SUM(Scores!B12:M12)</f>
        <v>73</v>
      </c>
      <c r="E13" s="147"/>
      <c r="F13" s="147"/>
      <c r="G13" s="147"/>
      <c r="H13" s="147"/>
      <c r="I13" s="147"/>
      <c r="J13" s="147"/>
      <c r="K13" s="167">
        <v>11</v>
      </c>
      <c r="L13" s="1223"/>
      <c r="M13" s="694" cm="1">
        <f t="array" ref="M13">SUM(Scores!$B12:M12)*programFactor</f>
        <v>109.5</v>
      </c>
      <c r="N13" s="684">
        <f>IF(COUNT(Scores!$B12:M12)&gt;0,AVERAGE(Scores!$B12:M12)*programFactor,0)</f>
        <v>9.954545454545455</v>
      </c>
      <c r="O13" s="684">
        <f>IF(COUNT(Scores!$B12:M12)&gt;0,MEDIAN(Scores!$B12:M12)*programFactor,0)</f>
        <v>7.5</v>
      </c>
      <c r="P13" s="685" cm="1">
        <f t="array" ref="P13">IF(getmode(Scores!$B12:M12)="","",getmode(Scores!$B12:M12)*programFactor)</f>
        <v>7.5</v>
      </c>
      <c r="Q13" s="147"/>
      <c r="R13" s="147"/>
      <c r="S13" s="147"/>
    </row>
    <row r="14" spans="1:19" ht="12.75" customHeight="1" x14ac:dyDescent="0.2">
      <c r="A14" s="81">
        <f t="shared" si="0"/>
        <v>12</v>
      </c>
      <c r="B14" s="82" t="s">
        <v>398</v>
      </c>
      <c r="C14" s="63" t="str" cm="1">
        <f t="array" ref="C14" xml:space="preserve"> INDEX(program_table,A14,1)</f>
        <v>Evening: Chuckwagon Dinner</v>
      </c>
      <c r="D14" s="106">
        <f>SUM(Scores!B13:M13)</f>
        <v>73</v>
      </c>
      <c r="E14" s="147"/>
      <c r="F14" s="147"/>
      <c r="G14" s="147"/>
      <c r="H14" s="147"/>
      <c r="I14" s="147"/>
      <c r="J14" s="147"/>
      <c r="K14" s="167">
        <v>12</v>
      </c>
      <c r="L14" s="1223"/>
      <c r="M14" s="694" cm="1">
        <f t="array" ref="M14">SUM(Scores!$B13:M13)*programFactor</f>
        <v>109.5</v>
      </c>
      <c r="N14" s="684">
        <f>IF(COUNT(Scores!$B13:M13)&gt;0,AVERAGE(Scores!$B13:M13)*programFactor,0)</f>
        <v>13.6875</v>
      </c>
      <c r="O14" s="684">
        <f>IF(COUNT(Scores!$B13:M13)&gt;0,MEDIAN(Scores!$B13:M13)*programFactor,0)</f>
        <v>15.75</v>
      </c>
      <c r="P14" s="685" cm="1">
        <f t="array" ref="P14">IF(getmode(Scores!$B13:M13)="","",getmode(Scores!$B13:M13)*programFactor)</f>
        <v>0</v>
      </c>
      <c r="Q14" s="147"/>
      <c r="R14" s="147"/>
      <c r="S14" s="147"/>
    </row>
    <row r="15" spans="1:19" ht="12.75" customHeight="1" x14ac:dyDescent="0.2">
      <c r="A15" s="81">
        <f t="shared" si="0"/>
        <v>13</v>
      </c>
      <c r="B15" s="82" t="s">
        <v>398</v>
      </c>
      <c r="C15" s="63" t="str" cm="1">
        <f t="array" ref="C15" xml:space="preserve"> INDEX(program_table,A15,1)</f>
        <v>Historical: Adobe Brick-Making</v>
      </c>
      <c r="D15" s="106">
        <f>SUM(Scores!B14:M14)</f>
        <v>74</v>
      </c>
      <c r="E15" s="147"/>
      <c r="F15" s="147"/>
      <c r="G15" s="147"/>
      <c r="H15" s="147"/>
      <c r="I15" s="147"/>
      <c r="J15" s="147"/>
      <c r="K15" s="167">
        <v>13</v>
      </c>
      <c r="L15" s="1223"/>
      <c r="M15" s="694" cm="1">
        <f t="array" ref="M15">SUM(Scores!$B14:M14)*programFactor</f>
        <v>111</v>
      </c>
      <c r="N15" s="684">
        <f>IF(COUNT(Scores!$B14:M14)&gt;0,AVERAGE(Scores!$B14:M14)*programFactor,0)</f>
        <v>9.25</v>
      </c>
      <c r="O15" s="684">
        <f>IF(COUNT(Scores!$B14:M14)&gt;0,MEDIAN(Scores!$B14:M14)*programFactor,0)</f>
        <v>6</v>
      </c>
      <c r="P15" s="685" cm="1">
        <f t="array" ref="P15">IF(getmode(Scores!$B14:M14)="","",getmode(Scores!$B14:M14)*programFactor)</f>
        <v>0</v>
      </c>
      <c r="Q15" s="147"/>
      <c r="R15" s="147"/>
      <c r="S15" s="147"/>
    </row>
    <row r="16" spans="1:19" ht="12.75" customHeight="1" x14ac:dyDescent="0.2">
      <c r="A16" s="81">
        <f t="shared" si="0"/>
        <v>14</v>
      </c>
      <c r="B16" s="82" t="s">
        <v>398</v>
      </c>
      <c r="C16" s="63" t="str" cm="1">
        <f t="array" ref="C16" xml:space="preserve"> INDEX(program_table,A16,1)</f>
        <v>Historical: Blacksmithing</v>
      </c>
      <c r="D16" s="106">
        <f>SUM(Scores!B15:M15)</f>
        <v>76</v>
      </c>
      <c r="E16" s="147"/>
      <c r="F16" s="147"/>
      <c r="G16" s="147"/>
      <c r="H16" s="147"/>
      <c r="I16" s="147"/>
      <c r="J16" s="147"/>
      <c r="K16" s="167">
        <v>14</v>
      </c>
      <c r="L16" s="1223"/>
      <c r="M16" s="694" cm="1">
        <f t="array" ref="M16">SUM(Scores!$B15:M15)*programFactor</f>
        <v>114</v>
      </c>
      <c r="N16" s="684">
        <f>IF(COUNT(Scores!$B15:M15)&gt;0,AVERAGE(Scores!$B15:M15)*programFactor,0)</f>
        <v>10.363636363636363</v>
      </c>
      <c r="O16" s="684">
        <f>IF(COUNT(Scores!$B15:M15)&gt;0,MEDIAN(Scores!$B15:M15)*programFactor,0)</f>
        <v>10.5</v>
      </c>
      <c r="P16" s="685" cm="1">
        <f t="array" ref="P16">IF(getmode(Scores!$B15:M15)="","",getmode(Scores!$B15:M15)*programFactor)</f>
        <v>3</v>
      </c>
      <c r="Q16" s="147"/>
      <c r="R16" s="147"/>
      <c r="S16" s="147"/>
    </row>
    <row r="17" spans="1:19" ht="12.75" customHeight="1" x14ac:dyDescent="0.2">
      <c r="A17" s="81">
        <f t="shared" si="0"/>
        <v>15</v>
      </c>
      <c r="B17" s="82" t="s">
        <v>398</v>
      </c>
      <c r="C17" s="63" t="str" cm="1">
        <f t="array" ref="C17" xml:space="preserve"> INDEX(program_table,A17,1)</f>
        <v>Historical: Cabin Restoration</v>
      </c>
      <c r="D17" s="106">
        <f>SUM(Scores!B16:M16)</f>
        <v>82</v>
      </c>
      <c r="E17" s="147"/>
      <c r="F17" s="147"/>
      <c r="G17" s="147"/>
      <c r="H17" s="147"/>
      <c r="I17" s="147"/>
      <c r="J17" s="147"/>
      <c r="K17" s="167">
        <v>15</v>
      </c>
      <c r="L17" s="1223"/>
      <c r="M17" s="694" cm="1">
        <f t="array" ref="M17">SUM(Scores!$B16:M16)*programFactor</f>
        <v>123</v>
      </c>
      <c r="N17" s="684">
        <f>IF(COUNT(Scores!$B16:M16)&gt;0,AVERAGE(Scores!$B16:M16)*programFactor,0)</f>
        <v>11.181818181818182</v>
      </c>
      <c r="O17" s="684">
        <f>IF(COUNT(Scores!$B16:M16)&gt;0,MEDIAN(Scores!$B16:M16)*programFactor,0)</f>
        <v>7.5</v>
      </c>
      <c r="P17" s="685" cm="1">
        <f t="array" ref="P17">IF(getmode(Scores!$B16:M16)="","",getmode(Scores!$B16:M16)*programFactor)</f>
        <v>4.5</v>
      </c>
      <c r="Q17" s="147"/>
      <c r="R17" s="147"/>
      <c r="S17" s="147"/>
    </row>
    <row r="18" spans="1:19" ht="12.75" customHeight="1" x14ac:dyDescent="0.2">
      <c r="A18" s="81">
        <f t="shared" si="0"/>
        <v>16</v>
      </c>
      <c r="B18" s="82" t="s">
        <v>398</v>
      </c>
      <c r="C18" s="63" t="str" cm="1">
        <f t="array" ref="C18" xml:space="preserve"> INDEX(program_table,A18,1)</f>
        <v>Historical: Cabin/House Tour</v>
      </c>
      <c r="D18" s="106">
        <f>SUM(Scores!B17:M17)</f>
        <v>84</v>
      </c>
      <c r="E18" s="147"/>
      <c r="F18" s="147"/>
      <c r="G18" s="147"/>
      <c r="H18" s="147"/>
      <c r="I18" s="147"/>
      <c r="J18" s="147"/>
      <c r="K18" s="167">
        <v>16</v>
      </c>
      <c r="L18" s="1223"/>
      <c r="M18" s="694" cm="1">
        <f t="array" ref="M18">SUM(Scores!$B17:M17)*programFactor</f>
        <v>126</v>
      </c>
      <c r="N18" s="684">
        <f>IF(COUNT(Scores!$B17:M17)&gt;0,AVERAGE(Scores!$B17:M17)*programFactor,0)</f>
        <v>10.5</v>
      </c>
      <c r="O18" s="684">
        <f>IF(COUNT(Scores!$B17:M17)&gt;0,MEDIAN(Scores!$B17:M17)*programFactor,0)</f>
        <v>12</v>
      </c>
      <c r="P18" s="685" cm="1">
        <f t="array" ref="P18">IF(getmode(Scores!$B17:M17)="","",getmode(Scores!$B17:M17)*programFactor)</f>
        <v>12</v>
      </c>
      <c r="Q18" s="147"/>
      <c r="R18" s="147"/>
      <c r="S18" s="147"/>
    </row>
    <row r="19" spans="1:19" ht="12.75" customHeight="1" x14ac:dyDescent="0.2">
      <c r="A19" s="81">
        <f t="shared" si="0"/>
        <v>17</v>
      </c>
      <c r="B19" s="82" t="s">
        <v>398</v>
      </c>
      <c r="C19" s="63" t="str" cm="1">
        <f t="array" ref="C19" xml:space="preserve"> INDEX(program_table,A19,1)</f>
        <v>Historical: Crafting</v>
      </c>
      <c r="D19" s="106">
        <f>SUM(Scores!B18:M18)</f>
        <v>71</v>
      </c>
      <c r="E19" s="147"/>
      <c r="F19" s="147"/>
      <c r="G19" s="147"/>
      <c r="H19" s="147"/>
      <c r="I19" s="147"/>
      <c r="J19" s="147"/>
      <c r="K19" s="167">
        <v>17</v>
      </c>
      <c r="L19" s="1223"/>
      <c r="M19" s="694" cm="1">
        <f t="array" ref="M19">SUM(Scores!$B18:M18)*programFactor</f>
        <v>106.5</v>
      </c>
      <c r="N19" s="684">
        <f>IF(COUNT(Scores!$B18:M18)&gt;0,AVERAGE(Scores!$B18:M18)*programFactor,0)</f>
        <v>8.875</v>
      </c>
      <c r="O19" s="684">
        <f>IF(COUNT(Scores!$B18:M18)&gt;0,MEDIAN(Scores!$B18:M18)*programFactor,0)</f>
        <v>6</v>
      </c>
      <c r="P19" s="685" cm="1">
        <f t="array" ref="P19">IF(getmode(Scores!$B18:M18)="","",getmode(Scores!$B18:M18)*programFactor)</f>
        <v>1.5</v>
      </c>
      <c r="Q19" s="147"/>
      <c r="R19" s="147"/>
      <c r="S19" s="147"/>
    </row>
    <row r="20" spans="1:19" ht="12.75" customHeight="1" x14ac:dyDescent="0.2">
      <c r="A20" s="81">
        <f t="shared" si="0"/>
        <v>18</v>
      </c>
      <c r="B20" s="82" t="s">
        <v>398</v>
      </c>
      <c r="C20" s="63" t="str" cm="1">
        <f t="array" ref="C20" xml:space="preserve"> INDEX(program_table,A20,1)</f>
        <v>Historical: Crosscut &amp; Tie Making</v>
      </c>
      <c r="D20" s="106">
        <f>SUM(Scores!B19:M19)</f>
        <v>97</v>
      </c>
      <c r="E20" s="147"/>
      <c r="F20" s="147"/>
      <c r="G20" s="147"/>
      <c r="H20" s="147"/>
      <c r="I20" s="147"/>
      <c r="J20" s="147"/>
      <c r="K20" s="167">
        <v>18</v>
      </c>
      <c r="L20" s="1223"/>
      <c r="M20" s="694" cm="1">
        <f t="array" ref="M20">SUM(Scores!$B19:M19)*programFactor</f>
        <v>145.5</v>
      </c>
      <c r="N20" s="684">
        <f>IF(COUNT(Scores!$B19:M19)&gt;0,AVERAGE(Scores!$B19:M19)*programFactor,0)</f>
        <v>13.227272727272727</v>
      </c>
      <c r="O20" s="684">
        <f>IF(COUNT(Scores!$B19:M19)&gt;0,MEDIAN(Scores!$B19:M19)*programFactor,0)</f>
        <v>15</v>
      </c>
      <c r="P20" s="685" cm="1">
        <f t="array" ref="P20">IF(getmode(Scores!$B19:M19)="","",getmode(Scores!$B19:M19)*programFactor)</f>
        <v>15</v>
      </c>
      <c r="Q20" s="147"/>
      <c r="R20" s="147"/>
      <c r="S20" s="147"/>
    </row>
    <row r="21" spans="1:19" ht="12.75" customHeight="1" x14ac:dyDescent="0.2">
      <c r="A21" s="81">
        <f t="shared" si="0"/>
        <v>19</v>
      </c>
      <c r="B21" s="82" t="s">
        <v>398</v>
      </c>
      <c r="C21" s="63" t="str" cm="1">
        <f t="array" ref="C21" xml:space="preserve"> INDEX(program_table,A21,1)</f>
        <v>Historical: Flint Knapping</v>
      </c>
      <c r="D21" s="106">
        <f>SUM(Scores!B20:M20)</f>
        <v>62</v>
      </c>
      <c r="E21" s="147"/>
      <c r="F21" s="147"/>
      <c r="G21" s="147"/>
      <c r="H21" s="147"/>
      <c r="I21" s="147"/>
      <c r="J21" s="147"/>
      <c r="K21" s="167">
        <v>19</v>
      </c>
      <c r="L21" s="1223"/>
      <c r="M21" s="694" cm="1">
        <f t="array" ref="M21">SUM(Scores!$B20:M20)*programFactor</f>
        <v>93</v>
      </c>
      <c r="N21" s="684">
        <f>IF(COUNT(Scores!$B20:M20)&gt;0,AVERAGE(Scores!$B20:M20)*programFactor,0)</f>
        <v>7.75</v>
      </c>
      <c r="O21" s="684">
        <f>IF(COUNT(Scores!$B20:M20)&gt;0,MEDIAN(Scores!$B20:M20)*programFactor,0)</f>
        <v>6</v>
      </c>
      <c r="P21" s="685" cm="1">
        <f t="array" ref="P21">IF(getmode(Scores!$B20:M20)="","",getmode(Scores!$B20:M20)*programFactor)</f>
        <v>0</v>
      </c>
      <c r="Q21" s="147"/>
      <c r="R21" s="147"/>
      <c r="S21" s="147"/>
    </row>
    <row r="22" spans="1:19" ht="12.75" customHeight="1" x14ac:dyDescent="0.2">
      <c r="A22" s="81">
        <f t="shared" si="0"/>
        <v>20</v>
      </c>
      <c r="B22" s="82" t="s">
        <v>398</v>
      </c>
      <c r="C22" s="63" t="str" cm="1">
        <f t="array" ref="C22" xml:space="preserve"> INDEX(program_table,A22,1)</f>
        <v>Historical: Fur Trapper Rendezvous</v>
      </c>
      <c r="D22" s="106">
        <f>SUM(Scores!B21:M21)</f>
        <v>104</v>
      </c>
      <c r="E22" s="147"/>
      <c r="F22" s="147"/>
      <c r="G22" s="147"/>
      <c r="H22" s="147"/>
      <c r="I22" s="147"/>
      <c r="J22" s="147"/>
      <c r="K22" s="167">
        <v>20</v>
      </c>
      <c r="L22" s="1223"/>
      <c r="M22" s="694" cm="1">
        <f t="array" ref="M22">SUM(Scores!$B21:M21)*programFactor</f>
        <v>156</v>
      </c>
      <c r="N22" s="684">
        <f>IF(COUNT(Scores!$B21:M21)&gt;0,AVERAGE(Scores!$B21:M21)*programFactor,0)</f>
        <v>13</v>
      </c>
      <c r="O22" s="684">
        <f>IF(COUNT(Scores!$B21:M21)&gt;0,MEDIAN(Scores!$B21:M21)*programFactor,0)</f>
        <v>15</v>
      </c>
      <c r="P22" s="685" cm="1">
        <f t="array" ref="P22">IF(getmode(Scores!$B21:M21)="","",getmode(Scores!$B21:M21)*programFactor)</f>
        <v>3</v>
      </c>
      <c r="Q22" s="147"/>
      <c r="R22" s="147"/>
      <c r="S22" s="147"/>
    </row>
    <row r="23" spans="1:19" ht="12.75" customHeight="1" x14ac:dyDescent="0.2">
      <c r="A23" s="81">
        <f t="shared" si="0"/>
        <v>21</v>
      </c>
      <c r="B23" s="82" t="s">
        <v>398</v>
      </c>
      <c r="C23" s="63" t="str" cm="1">
        <f t="array" ref="C23" xml:space="preserve"> INDEX(program_table,A23,1)</f>
        <v>Historical: Gold Panning</v>
      </c>
      <c r="D23" s="106">
        <f>SUM(Scores!B22:M22)</f>
        <v>76</v>
      </c>
      <c r="E23" s="147"/>
      <c r="F23" s="147"/>
      <c r="G23" s="147"/>
      <c r="H23" s="147"/>
      <c r="I23" s="147"/>
      <c r="J23" s="147"/>
      <c r="K23" s="167">
        <v>21</v>
      </c>
      <c r="L23" s="1223"/>
      <c r="M23" s="694" cm="1">
        <f t="array" ref="M23">SUM(Scores!$B22:M22)*programFactor</f>
        <v>114</v>
      </c>
      <c r="N23" s="684">
        <f>IF(COUNT(Scores!$B22:M22)&gt;0,AVERAGE(Scores!$B22:M22)*programFactor,0)</f>
        <v>9.5</v>
      </c>
      <c r="O23" s="684">
        <f>IF(COUNT(Scores!$B22:M22)&gt;0,MEDIAN(Scores!$B22:M22)*programFactor,0)</f>
        <v>6</v>
      </c>
      <c r="P23" s="685" cm="1">
        <f t="array" ref="P23">IF(getmode(Scores!$B22:M22)="","",getmode(Scores!$B22:M22)*programFactor)</f>
        <v>0</v>
      </c>
      <c r="Q23" s="147"/>
      <c r="R23" s="147"/>
      <c r="S23" s="147"/>
    </row>
    <row r="24" spans="1:19" ht="12.75" customHeight="1" x14ac:dyDescent="0.2">
      <c r="A24" s="81">
        <f t="shared" si="0"/>
        <v>22</v>
      </c>
      <c r="B24" s="82" t="s">
        <v>398</v>
      </c>
      <c r="C24" s="63" t="str" cm="1">
        <f t="array" ref="C24" xml:space="preserve"> INDEX(program_table,A24,1)</f>
        <v>Historical: Mine Tour</v>
      </c>
      <c r="D24" s="106">
        <f>SUM(Scores!B23:M23)</f>
        <v>86</v>
      </c>
      <c r="E24" s="147"/>
      <c r="F24" s="147"/>
      <c r="G24" s="147"/>
      <c r="H24" s="147"/>
      <c r="I24" s="147"/>
      <c r="J24" s="147"/>
      <c r="K24" s="167">
        <v>22</v>
      </c>
      <c r="L24" s="1223"/>
      <c r="M24" s="694" cm="1">
        <f t="array" ref="M24">SUM(Scores!$B23:M23)*programFactor</f>
        <v>129</v>
      </c>
      <c r="N24" s="684">
        <f>IF(COUNT(Scores!$B23:M23)&gt;0,AVERAGE(Scores!$B23:M23)*programFactor,0)</f>
        <v>10.75</v>
      </c>
      <c r="O24" s="684">
        <f>IF(COUNT(Scores!$B23:M23)&gt;0,MEDIAN(Scores!$B23:M23)*programFactor,0)</f>
        <v>9.75</v>
      </c>
      <c r="P24" s="685" cm="1">
        <f t="array" ref="P24">IF(getmode(Scores!$B23:M23)="","",getmode(Scores!$B23:M23)*programFactor)</f>
        <v>0</v>
      </c>
      <c r="Q24" s="147"/>
      <c r="R24" s="147"/>
      <c r="S24" s="147"/>
    </row>
    <row r="25" spans="1:19" ht="12.75" customHeight="1" x14ac:dyDescent="0.2">
      <c r="A25" s="81">
        <f t="shared" si="0"/>
        <v>23</v>
      </c>
      <c r="B25" s="82" t="s">
        <v>398</v>
      </c>
      <c r="C25" s="63" t="str" cm="1">
        <f t="array" ref="C25" xml:space="preserve"> INDEX(program_table,A25,1)</f>
        <v>Historical: Petroglyph Tour</v>
      </c>
      <c r="D25" s="106">
        <f>SUM(Scores!B24:M24)</f>
        <v>69</v>
      </c>
      <c r="E25" s="147"/>
      <c r="F25" s="147"/>
      <c r="G25" s="147"/>
      <c r="H25" s="147"/>
      <c r="I25" s="147"/>
      <c r="J25" s="147"/>
      <c r="K25" s="167">
        <v>23</v>
      </c>
      <c r="L25" s="1223"/>
      <c r="M25" s="694" cm="1">
        <f t="array" ref="M25">SUM(Scores!$B24:M24)*programFactor</f>
        <v>103.5</v>
      </c>
      <c r="N25" s="684">
        <f>IF(COUNT(Scores!$B24:M24)&gt;0,AVERAGE(Scores!$B24:M24)*programFactor,0)</f>
        <v>8.625</v>
      </c>
      <c r="O25" s="684">
        <f>IF(COUNT(Scores!$B24:M24)&gt;0,MEDIAN(Scores!$B24:M24)*programFactor,0)</f>
        <v>9.75</v>
      </c>
      <c r="P25" s="685" cm="1">
        <f t="array" ref="P25">IF(getmode(Scores!$B24:M24)="","",getmode(Scores!$B24:M24)*programFactor)</f>
        <v>3</v>
      </c>
      <c r="Q25" s="147"/>
      <c r="R25" s="147"/>
      <c r="S25" s="147"/>
    </row>
    <row r="26" spans="1:19" ht="12.75" customHeight="1" x14ac:dyDescent="0.2">
      <c r="A26" s="81">
        <f t="shared" si="0"/>
        <v>24</v>
      </c>
      <c r="B26" s="82" t="s">
        <v>398</v>
      </c>
      <c r="C26" s="63" t="str" cm="1">
        <f t="array" ref="C26" xml:space="preserve"> INDEX(program_table,A26,1)</f>
        <v>Historical: Pump Car Rides</v>
      </c>
      <c r="D26" s="106">
        <f>SUM(Scores!B25:M25)</f>
        <v>108</v>
      </c>
      <c r="E26" s="147"/>
      <c r="F26" s="147"/>
      <c r="G26" s="147"/>
      <c r="H26" s="147"/>
      <c r="I26" s="147"/>
      <c r="J26" s="147"/>
      <c r="K26" s="167">
        <v>24</v>
      </c>
      <c r="L26" s="1223"/>
      <c r="M26" s="694" cm="1">
        <f t="array" ref="M26">SUM(Scores!$B25:M25)*programFactor</f>
        <v>162</v>
      </c>
      <c r="N26" s="684">
        <f>IF(COUNT(Scores!$B25:M25)&gt;0,AVERAGE(Scores!$B25:M25)*programFactor,0)</f>
        <v>18</v>
      </c>
      <c r="O26" s="684">
        <f>IF(COUNT(Scores!$B25:M25)&gt;0,MEDIAN(Scores!$B25:M25)*programFactor,0)</f>
        <v>22.5</v>
      </c>
      <c r="P26" s="685" cm="1">
        <f t="array" ref="P26">IF(getmode(Scores!$B25:M25)="","",getmode(Scores!$B25:M25)*programFactor)</f>
        <v>0</v>
      </c>
      <c r="Q26" s="147"/>
      <c r="R26" s="147"/>
      <c r="S26" s="147"/>
    </row>
    <row r="27" spans="1:19" ht="12.75" customHeight="1" x14ac:dyDescent="0.2">
      <c r="A27" s="81">
        <f t="shared" si="0"/>
        <v>25</v>
      </c>
      <c r="B27" s="82" t="s">
        <v>398</v>
      </c>
      <c r="C27" s="63" t="str" cm="1">
        <f t="array" ref="C27" xml:space="preserve"> INDEX(program_table,A27,1)</f>
        <v>Historical: Railroad Construction</v>
      </c>
      <c r="D27" s="106">
        <f>SUM(Scores!B26:M26)</f>
        <v>134</v>
      </c>
      <c r="E27" s="147"/>
      <c r="F27" s="147"/>
      <c r="G27" s="147"/>
      <c r="H27" s="147"/>
      <c r="I27" s="147"/>
      <c r="J27" s="147"/>
      <c r="K27" s="167">
        <v>25</v>
      </c>
      <c r="L27" s="1223"/>
      <c r="M27" s="694" cm="1">
        <f t="array" ref="M27">SUM(Scores!$B26:M26)*programFactor</f>
        <v>201</v>
      </c>
      <c r="N27" s="684">
        <f>IF(COUNT(Scores!$B26:M26)&gt;0,AVERAGE(Scores!$B26:M26)*programFactor,0)</f>
        <v>16.75</v>
      </c>
      <c r="O27" s="684">
        <f>IF(COUNT(Scores!$B26:M26)&gt;0,MEDIAN(Scores!$B26:M26)*programFactor,0)</f>
        <v>18.75</v>
      </c>
      <c r="P27" s="685" cm="1">
        <f t="array" ref="P27">IF(getmode(Scores!$B26:M26)="","",getmode(Scores!$B26:M26)*programFactor)</f>
        <v>15</v>
      </c>
      <c r="Q27" s="147"/>
      <c r="R27" s="147"/>
      <c r="S27" s="147"/>
    </row>
    <row r="28" spans="1:19" ht="12.75" customHeight="1" x14ac:dyDescent="0.2">
      <c r="A28" s="81">
        <f t="shared" si="0"/>
        <v>26</v>
      </c>
      <c r="B28" s="82" t="s">
        <v>398</v>
      </c>
      <c r="C28" s="63" t="str" cm="1">
        <f t="array" ref="C28" xml:space="preserve"> INDEX(program_table,A28,1)</f>
        <v>Historical: Spar Pole Climbing</v>
      </c>
      <c r="D28" s="106">
        <f>SUM(Scores!B27:M27)</f>
        <v>97</v>
      </c>
      <c r="E28" s="147"/>
      <c r="F28" s="147"/>
      <c r="G28" s="147"/>
      <c r="H28" s="147"/>
      <c r="I28" s="147"/>
      <c r="J28" s="147"/>
      <c r="K28" s="167">
        <v>26</v>
      </c>
      <c r="L28" s="1223"/>
      <c r="M28" s="694" cm="1">
        <f t="array" ref="M28">SUM(Scores!$B27:M27)*programFactor</f>
        <v>145.5</v>
      </c>
      <c r="N28" s="684">
        <f>IF(COUNT(Scores!$B27:M27)&gt;0,AVERAGE(Scores!$B27:M27)*programFactor,0)</f>
        <v>14.549999999999999</v>
      </c>
      <c r="O28" s="684">
        <f>IF(COUNT(Scores!$B27:M27)&gt;0,MEDIAN(Scores!$B27:M27)*programFactor,0)</f>
        <v>15</v>
      </c>
      <c r="P28" s="685" cm="1">
        <f t="array" ref="P28">IF(getmode(Scores!$B27:M27)="","",getmode(Scores!$B27:M27)*programFactor)</f>
        <v>15</v>
      </c>
      <c r="Q28" s="147"/>
      <c r="R28" s="147"/>
      <c r="S28" s="147"/>
    </row>
    <row r="29" spans="1:19" ht="12.75" customHeight="1" x14ac:dyDescent="0.2">
      <c r="A29" s="81">
        <f t="shared" si="0"/>
        <v>27</v>
      </c>
      <c r="B29" s="82" t="s">
        <v>398</v>
      </c>
      <c r="C29" s="63" t="str" cm="1">
        <f t="array" ref="C29" xml:space="preserve"> INDEX(program_table,A29,1)</f>
        <v>Landmarks: Baldy Mountain</v>
      </c>
      <c r="D29" s="106">
        <f>SUM(Scores!B28:M28)</f>
        <v>100</v>
      </c>
      <c r="E29" s="147"/>
      <c r="F29" s="147"/>
      <c r="G29" s="147"/>
      <c r="H29" s="147"/>
      <c r="I29" s="147"/>
      <c r="J29" s="147"/>
      <c r="K29" s="167">
        <v>26</v>
      </c>
      <c r="L29" s="1223"/>
      <c r="M29" s="694" cm="1">
        <f t="array" ref="M29">SUM(Scores!$B28:M28)*programFactor</f>
        <v>150</v>
      </c>
      <c r="N29" s="684">
        <f>IF(COUNT(Scores!$B28:M28)&gt;0,AVERAGE(Scores!$B28:M28)*programFactor,0)</f>
        <v>13.636363636363637</v>
      </c>
      <c r="O29" s="684">
        <f>IF(COUNT(Scores!$B28:M28)&gt;0,MEDIAN(Scores!$B28:M28)*programFactor,0)</f>
        <v>18</v>
      </c>
      <c r="P29" s="685" cm="1">
        <f t="array" ref="P29">IF(getmode(Scores!$B28:M28)="","",getmode(Scores!$B28:M28)*programFactor)</f>
        <v>0</v>
      </c>
      <c r="Q29" s="147"/>
      <c r="R29" s="147"/>
      <c r="S29" s="147"/>
    </row>
    <row r="30" spans="1:19" ht="12.75" customHeight="1" x14ac:dyDescent="0.2">
      <c r="A30" s="81">
        <f t="shared" si="0"/>
        <v>28</v>
      </c>
      <c r="B30" s="82" t="s">
        <v>398</v>
      </c>
      <c r="C30" s="63" t="str" cm="1">
        <f t="array" ref="C30" xml:space="preserve"> INDEX(program_table,A30,1)</f>
        <v>Landmarks: Inspiration Point</v>
      </c>
      <c r="D30" s="106">
        <f>SUM(Scores!B29:M29)</f>
        <v>117</v>
      </c>
      <c r="E30" s="147"/>
      <c r="F30" s="147"/>
      <c r="G30" s="147"/>
      <c r="H30" s="147"/>
      <c r="I30" s="147"/>
      <c r="J30" s="147"/>
      <c r="K30" s="167">
        <v>27</v>
      </c>
      <c r="L30" s="1223"/>
      <c r="M30" s="694" cm="1">
        <f t="array" ref="M30">SUM(Scores!$B29:M29)*programFactor</f>
        <v>175.5</v>
      </c>
      <c r="N30" s="684">
        <f>IF(COUNT(Scores!$B29:M29)&gt;0,AVERAGE(Scores!$B29:M29)*programFactor,0)</f>
        <v>15.954545454545455</v>
      </c>
      <c r="O30" s="684">
        <f>IF(COUNT(Scores!$B29:M29)&gt;0,MEDIAN(Scores!$B29:M29)*programFactor,0)</f>
        <v>18</v>
      </c>
      <c r="P30" s="685" cm="1">
        <f t="array" ref="P30">IF(getmode(Scores!$B29:M29)="","",getmode(Scores!$B29:M29)*programFactor)</f>
        <v>0</v>
      </c>
      <c r="Q30" s="147"/>
      <c r="R30" s="147"/>
      <c r="S30" s="147"/>
    </row>
    <row r="31" spans="1:19" ht="12.75" customHeight="1" x14ac:dyDescent="0.2">
      <c r="A31" s="81">
        <f t="shared" si="0"/>
        <v>29</v>
      </c>
      <c r="B31" s="82" t="s">
        <v>398</v>
      </c>
      <c r="C31" s="63" t="str" cm="1">
        <f t="array" ref="C31" xml:space="preserve"> INDEX(program_table,A31,1)</f>
        <v>Landmarks: Mount Phillips</v>
      </c>
      <c r="D31" s="106">
        <f>SUM(Scores!B30:M30)</f>
        <v>103</v>
      </c>
      <c r="E31" s="147"/>
      <c r="F31" s="147"/>
      <c r="G31" s="147"/>
      <c r="H31" s="147"/>
      <c r="I31" s="147"/>
      <c r="J31" s="147"/>
      <c r="K31" s="167">
        <v>28</v>
      </c>
      <c r="L31" s="1223"/>
      <c r="M31" s="694" cm="1">
        <f t="array" ref="M31">SUM(Scores!$B30:M30)*programFactor</f>
        <v>154.5</v>
      </c>
      <c r="N31" s="684">
        <f>IF(COUNT(Scores!$B30:M30)&gt;0,AVERAGE(Scores!$B30:M30)*programFactor,0)</f>
        <v>15.450000000000001</v>
      </c>
      <c r="O31" s="684">
        <f>IF(COUNT(Scores!$B30:M30)&gt;0,MEDIAN(Scores!$B30:M30)*programFactor,0)</f>
        <v>18</v>
      </c>
      <c r="P31" s="685" cm="1">
        <f t="array" ref="P31">IF(getmode(Scores!$B30:M30)="","",getmode(Scores!$B30:M30)*programFactor)</f>
        <v>18</v>
      </c>
      <c r="Q31" s="147"/>
      <c r="R31" s="147"/>
      <c r="S31" s="147"/>
    </row>
    <row r="32" spans="1:19" ht="12.75" customHeight="1" x14ac:dyDescent="0.2">
      <c r="A32" s="81">
        <f t="shared" si="0"/>
        <v>30</v>
      </c>
      <c r="B32" s="82" t="s">
        <v>398</v>
      </c>
      <c r="C32" s="63" t="str" cm="1">
        <f t="array" ref="C32" xml:space="preserve"> INDEX(program_table,A32,1)</f>
        <v>Landmarks: Mountaineering</v>
      </c>
      <c r="D32" s="106">
        <f>SUM(Scores!B31:M31)</f>
        <v>126</v>
      </c>
      <c r="E32" s="147"/>
      <c r="F32" s="147"/>
      <c r="G32" s="147"/>
      <c r="H32" s="147"/>
      <c r="I32" s="147"/>
      <c r="J32" s="147"/>
      <c r="K32" s="167"/>
      <c r="L32" s="1223"/>
      <c r="M32" s="694" cm="1">
        <f t="array" ref="M32">SUM(Scores!$B31:M31)*programFactor</f>
        <v>189</v>
      </c>
      <c r="N32" s="684">
        <f>IF(COUNT(Scores!$B31:M31)&gt;0,AVERAGE(Scores!$B31:M31)*programFactor,0)</f>
        <v>17.181818181818183</v>
      </c>
      <c r="O32" s="684">
        <f>IF(COUNT(Scores!$B31:M31)&gt;0,MEDIAN(Scores!$B31:M31)*programFactor,0)</f>
        <v>18</v>
      </c>
      <c r="P32" s="685" cm="1">
        <f t="array" ref="P32">IF(getmode(Scores!$B31:M31)="","",getmode(Scores!$B31:M31)*programFactor)</f>
        <v>22.5</v>
      </c>
      <c r="Q32" s="147"/>
      <c r="R32" s="147"/>
      <c r="S32" s="147"/>
    </row>
    <row r="33" spans="1:19" ht="12.75" customHeight="1" x14ac:dyDescent="0.2">
      <c r="A33" s="81">
        <f t="shared" si="0"/>
        <v>31</v>
      </c>
      <c r="B33" s="82" t="s">
        <v>398</v>
      </c>
      <c r="C33" s="63" t="str" cm="1">
        <f t="array" ref="C33" xml:space="preserve"> INDEX(program_table,A33,1)</f>
        <v>Landmarks: Tooth of Time</v>
      </c>
      <c r="D33" s="106">
        <f>SUM(Scores!B32:M32)</f>
        <v>135</v>
      </c>
      <c r="E33" s="147"/>
      <c r="F33" s="147"/>
      <c r="G33" s="147"/>
      <c r="H33" s="147"/>
      <c r="I33" s="147"/>
      <c r="J33" s="147"/>
      <c r="K33" s="167"/>
      <c r="L33" s="1223"/>
      <c r="M33" s="694" cm="1">
        <f t="array" ref="M33">SUM(Scores!$B32:M32)*programFactor</f>
        <v>202.5</v>
      </c>
      <c r="N33" s="684">
        <f>IF(COUNT(Scores!$B32:M32)&gt;0,AVERAGE(Scores!$B32:M32)*programFactor,0)</f>
        <v>18.40909090909091</v>
      </c>
      <c r="O33" s="684">
        <f>IF(COUNT(Scores!$B32:M32)&gt;0,MEDIAN(Scores!$B32:M32)*programFactor,0)</f>
        <v>19.5</v>
      </c>
      <c r="P33" s="685" cm="1">
        <f t="array" ref="P33">IF(getmode(Scores!$B32:M32)="","",getmode(Scores!$B32:M32)*programFactor)</f>
        <v>19.5</v>
      </c>
      <c r="Q33" s="147"/>
      <c r="R33" s="147"/>
      <c r="S33" s="147"/>
    </row>
    <row r="34" spans="1:19" ht="12.75" customHeight="1" x14ac:dyDescent="0.2">
      <c r="A34" s="81">
        <f t="shared" si="0"/>
        <v>32</v>
      </c>
      <c r="B34" s="82" t="s">
        <v>398</v>
      </c>
      <c r="C34" s="63" t="str" cm="1">
        <f t="array" ref="C34" xml:space="preserve"> INDEX(program_table,A34,1)</f>
        <v>Landmarks: Trail Peak</v>
      </c>
      <c r="D34" s="106">
        <f>SUM(Scores!B33:M33)</f>
        <v>61</v>
      </c>
      <c r="E34" s="147"/>
      <c r="F34" s="147"/>
      <c r="G34" s="147"/>
      <c r="H34" s="147"/>
      <c r="I34" s="147"/>
      <c r="J34" s="147"/>
      <c r="K34" s="167"/>
      <c r="L34" s="1223"/>
      <c r="M34" s="694" cm="1">
        <f t="array" ref="M34">SUM(Scores!$B33:M33)*programFactor</f>
        <v>91.5</v>
      </c>
      <c r="N34" s="684">
        <f>IF(COUNT(Scores!$B33:M33)&gt;0,AVERAGE(Scores!$B33:M33)*programFactor,0)</f>
        <v>9.1499999999999986</v>
      </c>
      <c r="O34" s="684">
        <f>IF(COUNT(Scores!$B33:M33)&gt;0,MEDIAN(Scores!$B33:M33)*programFactor,0)</f>
        <v>7.5</v>
      </c>
      <c r="P34" s="685" cm="1">
        <f t="array" ref="P34">IF(getmode(Scores!$B33:M33)="","",getmode(Scores!$B33:M33)*programFactor)</f>
        <v>0</v>
      </c>
      <c r="Q34" s="147"/>
      <c r="R34" s="147"/>
      <c r="S34" s="147"/>
    </row>
    <row r="35" spans="1:19" ht="12.75" customHeight="1" x14ac:dyDescent="0.2">
      <c r="A35" s="81">
        <f t="shared" si="0"/>
        <v>33</v>
      </c>
      <c r="B35" s="82" t="s">
        <v>398</v>
      </c>
      <c r="C35" s="63" t="str" cm="1">
        <f t="array" ref="C35" xml:space="preserve"> INDEX(program_table,A35,1)</f>
        <v>Livestock: Animal Husbandry</v>
      </c>
      <c r="D35" s="106">
        <f>SUM(Scores!B34:M34)</f>
        <v>121</v>
      </c>
      <c r="E35" s="147"/>
      <c r="F35" s="147"/>
      <c r="G35" s="147"/>
      <c r="H35" s="147"/>
      <c r="I35" s="147"/>
      <c r="J35" s="147"/>
      <c r="K35" s="167"/>
      <c r="L35" s="1223"/>
      <c r="M35" s="694" cm="1">
        <f t="array" ref="M35">SUM(Scores!$B34:M34)*programFactor</f>
        <v>181.5</v>
      </c>
      <c r="N35" s="684">
        <f>IF(COUNT(Scores!$B34:M34)&gt;0,AVERAGE(Scores!$B34:M34)*programFactor,0)</f>
        <v>18.149999999999999</v>
      </c>
      <c r="O35" s="684">
        <f>IF(COUNT(Scores!$B34:M34)&gt;0,MEDIAN(Scores!$B34:M34)*programFactor,0)</f>
        <v>18</v>
      </c>
      <c r="P35" s="685" cm="1">
        <f t="array" ref="P35">IF(getmode(Scores!$B34:M34)="","",getmode(Scores!$B34:M34)*programFactor)</f>
        <v>10.5</v>
      </c>
      <c r="Q35" s="147"/>
      <c r="R35" s="147"/>
      <c r="S35" s="147"/>
    </row>
    <row r="36" spans="1:19" ht="12.75" customHeight="1" x14ac:dyDescent="0.2">
      <c r="A36" s="81">
        <f t="shared" si="0"/>
        <v>34</v>
      </c>
      <c r="B36" s="82" t="s">
        <v>398</v>
      </c>
      <c r="C36" s="63" t="str" cm="1">
        <f t="array" ref="C36" xml:space="preserve"> INDEX(program_table,A36,1)</f>
        <v>Livestock: Burro Packing</v>
      </c>
      <c r="D36" s="106">
        <f>SUM(Scores!B35:M35)</f>
        <v>147</v>
      </c>
      <c r="E36" s="147"/>
      <c r="F36" s="147"/>
      <c r="G36" s="147"/>
      <c r="H36" s="147"/>
      <c r="I36" s="147"/>
      <c r="J36" s="147"/>
      <c r="K36" s="167"/>
      <c r="L36" s="1223"/>
      <c r="M36" s="694" cm="1">
        <f t="array" ref="M36">SUM(Scores!$B35:M35)*programFactor</f>
        <v>220.5</v>
      </c>
      <c r="N36" s="684">
        <f>IF(COUNT(Scores!$B35:M35)&gt;0,AVERAGE(Scores!$B35:M35)*programFactor,0)</f>
        <v>18.375</v>
      </c>
      <c r="O36" s="684">
        <f>IF(COUNT(Scores!$B35:M35)&gt;0,MEDIAN(Scores!$B35:M35)*programFactor,0)</f>
        <v>18</v>
      </c>
      <c r="P36" s="685" cm="1">
        <f t="array" ref="P36">IF(getmode(Scores!$B35:M35)="","",getmode(Scores!$B35:M35)*programFactor)</f>
        <v>10.5</v>
      </c>
      <c r="Q36" s="147"/>
      <c r="R36" s="147"/>
      <c r="S36" s="147"/>
    </row>
    <row r="37" spans="1:19" ht="12.75" customHeight="1" x14ac:dyDescent="0.2">
      <c r="A37" s="81">
        <f t="shared" si="0"/>
        <v>35</v>
      </c>
      <c r="B37" s="82" t="s">
        <v>398</v>
      </c>
      <c r="C37" s="63" t="str" cm="1">
        <f t="array" ref="C37" xml:space="preserve"> INDEX(program_table,A37,1)</f>
        <v>Livestock: Chicken Tending</v>
      </c>
      <c r="D37" s="106">
        <f>SUM(Scores!B36:M36)</f>
        <v>140</v>
      </c>
      <c r="E37" s="147"/>
      <c r="F37" s="147"/>
      <c r="G37" s="147"/>
      <c r="H37" s="147"/>
      <c r="I37" s="147"/>
      <c r="J37" s="147"/>
      <c r="K37" s="167"/>
      <c r="L37" s="1223"/>
      <c r="M37" s="694" cm="1">
        <f t="array" ref="M37">SUM(Scores!$B36:M36)*programFactor</f>
        <v>210</v>
      </c>
      <c r="N37" s="684">
        <f>IF(COUNT(Scores!$B36:M36)&gt;0,AVERAGE(Scores!$B36:M36)*programFactor,0)</f>
        <v>19.09090909090909</v>
      </c>
      <c r="O37" s="684">
        <f>IF(COUNT(Scores!$B36:M36)&gt;0,MEDIAN(Scores!$B36:M36)*programFactor,0)</f>
        <v>21</v>
      </c>
      <c r="P37" s="685" cm="1">
        <f t="array" ref="P37">IF(getmode(Scores!$B36:M36)="","",getmode(Scores!$B36:M36)*programFactor)</f>
        <v>7.5</v>
      </c>
      <c r="Q37" s="147"/>
      <c r="R37" s="147"/>
      <c r="S37" s="147"/>
    </row>
    <row r="38" spans="1:19" ht="12.75" customHeight="1" x14ac:dyDescent="0.2">
      <c r="A38" s="81">
        <f t="shared" si="0"/>
        <v>36</v>
      </c>
      <c r="B38" s="82" t="s">
        <v>398</v>
      </c>
      <c r="C38" s="63" t="str" cm="1">
        <f t="array" ref="C38" xml:space="preserve"> INDEX(program_table,A38,1)</f>
        <v>Livestock: Horse Rides</v>
      </c>
      <c r="D38" s="106">
        <f>SUM(Scores!B37:M37)</f>
        <v>170</v>
      </c>
      <c r="E38" s="147"/>
      <c r="F38" s="147"/>
      <c r="G38" s="147"/>
      <c r="H38" s="147"/>
      <c r="I38" s="147"/>
      <c r="J38" s="147"/>
      <c r="K38" s="167"/>
      <c r="L38" s="1223"/>
      <c r="M38" s="694" cm="1">
        <f t="array" ref="M38">SUM(Scores!$B37:M37)*programFactor</f>
        <v>255</v>
      </c>
      <c r="N38" s="684">
        <f>IF(COUNT(Scores!$B37:M37)&gt;0,AVERAGE(Scores!$B37:M37)*programFactor,0)</f>
        <v>23.181818181818183</v>
      </c>
      <c r="O38" s="684">
        <f>IF(COUNT(Scores!$B37:M37)&gt;0,MEDIAN(Scores!$B37:M37)*programFactor,0)</f>
        <v>27</v>
      </c>
      <c r="P38" s="685" cm="1">
        <f t="array" ref="P38">IF(getmode(Scores!$B37:M37)="","",getmode(Scores!$B37:M37)*programFactor)</f>
        <v>30</v>
      </c>
      <c r="Q38" s="147"/>
      <c r="R38" s="147"/>
      <c r="S38" s="147"/>
    </row>
    <row r="39" spans="1:19" ht="12.75" customHeight="1" x14ac:dyDescent="0.2">
      <c r="A39" s="81">
        <f t="shared" si="0"/>
        <v>37</v>
      </c>
      <c r="B39" s="82" t="s">
        <v>398</v>
      </c>
      <c r="C39" s="63" t="str" cm="1">
        <f t="array" ref="C39" xml:space="preserve"> INDEX(program_table,A39,1)</f>
        <v>Low Impact Camping</v>
      </c>
      <c r="D39" s="106">
        <f>SUM(Scores!B38:M38)</f>
        <v>157</v>
      </c>
      <c r="E39" s="147"/>
      <c r="F39" s="147"/>
      <c r="G39" s="147"/>
      <c r="H39" s="147"/>
      <c r="I39" s="147"/>
      <c r="J39" s="147"/>
      <c r="K39" s="167"/>
      <c r="L39" s="1223"/>
      <c r="M39" s="694" cm="1">
        <f t="array" ref="M39">SUM(Scores!$B38:M38)*programFactor</f>
        <v>235.5</v>
      </c>
      <c r="N39" s="684">
        <f>IF(COUNT(Scores!$B38:M38)&gt;0,AVERAGE(Scores!$B38:M38)*programFactor,0)</f>
        <v>21.40909090909091</v>
      </c>
      <c r="O39" s="684">
        <f>IF(COUNT(Scores!$B38:M38)&gt;0,MEDIAN(Scores!$B38:M38)*programFactor,0)</f>
        <v>22.5</v>
      </c>
      <c r="P39" s="685" cm="1">
        <f t="array" ref="P39">IF(getmode(Scores!$B38:M38)="","",getmode(Scores!$B38:M38)*programFactor)</f>
        <v>30</v>
      </c>
      <c r="Q39" s="147"/>
      <c r="R39" s="147"/>
      <c r="S39" s="147"/>
    </row>
    <row r="40" spans="1:19" ht="12.75" customHeight="1" x14ac:dyDescent="0.2">
      <c r="A40" s="81">
        <f t="shared" si="0"/>
        <v>38</v>
      </c>
      <c r="B40" s="82" t="s">
        <v>398</v>
      </c>
      <c r="C40" s="63" t="str" cm="1">
        <f t="array" ref="C40" xml:space="preserve"> INDEX(program_table,A40,1)</f>
        <v>Range Sports: 3D Archery</v>
      </c>
      <c r="D40" s="106">
        <f>SUM(Scores!B39:M39)</f>
        <v>129</v>
      </c>
      <c r="E40" s="147"/>
      <c r="F40" s="147"/>
      <c r="G40" s="147"/>
      <c r="H40" s="147"/>
      <c r="I40" s="147"/>
      <c r="J40" s="147"/>
      <c r="K40" s="167"/>
      <c r="L40" s="1223"/>
      <c r="M40" s="694" cm="1">
        <f t="array" ref="M40">SUM(Scores!$B39:M39)*programFactor</f>
        <v>193.5</v>
      </c>
      <c r="N40" s="684">
        <f>IF(COUNT(Scores!$B39:M39)&gt;0,AVERAGE(Scores!$B39:M39)*programFactor,0)</f>
        <v>19.350000000000001</v>
      </c>
      <c r="O40" s="684">
        <f>IF(COUNT(Scores!$B39:M39)&gt;0,MEDIAN(Scores!$B39:M39)*programFactor,0)</f>
        <v>18</v>
      </c>
      <c r="P40" s="685" cm="1">
        <f t="array" ref="P40">IF(getmode(Scores!$B39:M39)="","",getmode(Scores!$B39:M39)*programFactor)</f>
        <v>10.5</v>
      </c>
      <c r="Q40" s="147"/>
      <c r="R40" s="147"/>
      <c r="S40" s="147"/>
    </row>
    <row r="41" spans="1:19" ht="12.75" customHeight="1" x14ac:dyDescent="0.2">
      <c r="A41" s="81">
        <f t="shared" si="0"/>
        <v>39</v>
      </c>
      <c r="B41" s="82" t="s">
        <v>398</v>
      </c>
      <c r="C41" s="63" t="str" cm="1">
        <f t="array" ref="C41" xml:space="preserve"> INDEX(program_table,A41,1)</f>
        <v>Range Sports: Aerial Archery</v>
      </c>
      <c r="D41" s="106">
        <f>SUM(Scores!B40:M40)</f>
        <v>101</v>
      </c>
      <c r="E41" s="147"/>
      <c r="F41" s="147"/>
      <c r="G41" s="147"/>
      <c r="H41" s="147"/>
      <c r="I41" s="147"/>
      <c r="J41" s="147"/>
      <c r="K41" s="167"/>
      <c r="L41" s="1223"/>
      <c r="M41" s="694" cm="1">
        <f t="array" ref="M41">SUM(Scores!$B34:M34)*programFactor</f>
        <v>181.5</v>
      </c>
      <c r="N41" s="684">
        <f>IF(COUNT(Scores!$B34:M34)&gt;0,AVERAGE(Scores!$B34:M34)*programFactor,0)</f>
        <v>18.149999999999999</v>
      </c>
      <c r="O41" s="684">
        <f>IF(COUNT(Scores!$B34:M34)&gt;0,MEDIAN(Scores!$B34:M34)*programFactor,0)</f>
        <v>18</v>
      </c>
      <c r="P41" s="685" cm="1">
        <f t="array" ref="P41">IF(getmode(Scores!$B34:M34)="","",getmode(Scores!$B34:M34)*programFactor)</f>
        <v>10.5</v>
      </c>
      <c r="Q41" s="147"/>
      <c r="R41" s="147"/>
      <c r="S41" s="147"/>
    </row>
    <row r="42" spans="1:19" ht="12.75" customHeight="1" x14ac:dyDescent="0.2">
      <c r="A42" s="81">
        <f t="shared" si="0"/>
        <v>40</v>
      </c>
      <c r="B42" s="82" t="s">
        <v>398</v>
      </c>
      <c r="C42" s="63" t="str" cm="1">
        <f t="array" ref="C42" xml:space="preserve"> INDEX(program_table,A42,1)</f>
        <v>Range Sports: Atlatl Throwing</v>
      </c>
      <c r="D42" s="106">
        <f>SUM(Scores!B35:M35)</f>
        <v>147</v>
      </c>
      <c r="E42" s="147"/>
      <c r="F42" s="147"/>
      <c r="G42" s="147"/>
      <c r="H42" s="147"/>
      <c r="I42" s="147"/>
      <c r="J42" s="147"/>
      <c r="K42" s="167"/>
      <c r="L42" s="1223"/>
      <c r="M42" s="694" cm="1">
        <f t="array" ref="M42">SUM(Scores!$B35:M35)*programFactor</f>
        <v>220.5</v>
      </c>
      <c r="N42" s="684">
        <f>IF(COUNT(Scores!$B35:M35)&gt;0,AVERAGE(Scores!$B35:M35)*programFactor,0)</f>
        <v>18.375</v>
      </c>
      <c r="O42" s="684">
        <f>IF(COUNT(Scores!$B35:M35)&gt;0,MEDIAN(Scores!$B35:M35)*programFactor,0)</f>
        <v>18</v>
      </c>
      <c r="P42" s="685" cm="1">
        <f t="array" ref="P42">IF(getmode(Scores!$B35:M35)="","",getmode(Scores!$B35:M35)*programFactor)</f>
        <v>10.5</v>
      </c>
      <c r="Q42" s="147"/>
      <c r="R42" s="147"/>
      <c r="S42" s="147"/>
    </row>
    <row r="43" spans="1:19" ht="12.75" customHeight="1" x14ac:dyDescent="0.2">
      <c r="A43" s="81">
        <f t="shared" si="0"/>
        <v>41</v>
      </c>
      <c r="B43" s="82" t="s">
        <v>398</v>
      </c>
      <c r="C43" s="63" t="str" cm="1">
        <f t="array" ref="C43" xml:space="preserve"> INDEX(program_table,A43,1)</f>
        <v>Range Sports: Cartridge Reloading</v>
      </c>
      <c r="D43" s="106">
        <f>SUM(Scores!B36:M36)</f>
        <v>140</v>
      </c>
      <c r="E43" s="147"/>
      <c r="F43" s="147"/>
      <c r="G43" s="147"/>
      <c r="H43" s="147"/>
      <c r="I43" s="147"/>
      <c r="J43" s="147"/>
      <c r="K43" s="167"/>
      <c r="L43" s="1223"/>
      <c r="M43" s="694" cm="1">
        <f t="array" ref="M43">SUM(Scores!$B36:M36)*programFactor</f>
        <v>210</v>
      </c>
      <c r="N43" s="684">
        <f>IF(COUNT(Scores!$B36:M36)&gt;0,AVERAGE(Scores!$B36:M36)*programFactor,0)</f>
        <v>19.09090909090909</v>
      </c>
      <c r="O43" s="684">
        <f>IF(COUNT(Scores!$B36:M36)&gt;0,MEDIAN(Scores!$B36:M36)*programFactor,0)</f>
        <v>21</v>
      </c>
      <c r="P43" s="685" cm="1">
        <f t="array" ref="P43">IF(getmode(Scores!$B36:M36)="","",getmode(Scores!$B36:M36)*programFactor)</f>
        <v>7.5</v>
      </c>
      <c r="Q43" s="147"/>
      <c r="R43" s="147"/>
      <c r="S43" s="147"/>
    </row>
    <row r="44" spans="1:19" ht="12.75" customHeight="1" x14ac:dyDescent="0.2">
      <c r="A44" s="81">
        <f t="shared" si="0"/>
        <v>42</v>
      </c>
      <c r="B44" s="82" t="s">
        <v>398</v>
      </c>
      <c r="C44" s="63" t="str" cm="1">
        <f t="array" ref="C44" xml:space="preserve"> INDEX(program_table,A44,1)</f>
        <v>Range Sports: Cowboy Action Shooting</v>
      </c>
      <c r="D44" s="106">
        <f>SUM(Scores!B37:M37)</f>
        <v>170</v>
      </c>
      <c r="E44" s="147"/>
      <c r="F44" s="147"/>
      <c r="G44" s="147"/>
      <c r="H44" s="147"/>
      <c r="I44" s="147"/>
      <c r="J44" s="147"/>
      <c r="K44" s="167"/>
      <c r="L44" s="1223"/>
      <c r="M44" s="694" cm="1">
        <f t="array" ref="M44">SUM(Scores!$B37:M37)*programFactor</f>
        <v>255</v>
      </c>
      <c r="N44" s="684">
        <f>IF(COUNT(Scores!$B37:M37)&gt;0,AVERAGE(Scores!$B37:M37)*programFactor,0)</f>
        <v>23.181818181818183</v>
      </c>
      <c r="O44" s="684">
        <f>IF(COUNT(Scores!$B37:M37)&gt;0,MEDIAN(Scores!$B37:M37)*programFactor,0)</f>
        <v>27</v>
      </c>
      <c r="P44" s="685" cm="1">
        <f t="array" ref="P44">IF(getmode(Scores!$B37:M37)="","",getmode(Scores!$B37:M37)*programFactor)</f>
        <v>30</v>
      </c>
      <c r="Q44" s="147"/>
      <c r="R44" s="147"/>
      <c r="S44" s="147"/>
    </row>
    <row r="45" spans="1:19" ht="12.75" customHeight="1" x14ac:dyDescent="0.2">
      <c r="A45" s="81">
        <f t="shared" si="0"/>
        <v>43</v>
      </c>
      <c r="B45" s="82" t="s">
        <v>398</v>
      </c>
      <c r="C45" s="63" t="str" cm="1">
        <f t="array" ref="C45" xml:space="preserve"> INDEX(program_table,A45,1)</f>
        <v>Range Sports: Field Archery</v>
      </c>
      <c r="D45" s="106">
        <f>SUM(Scores!B38:M38)</f>
        <v>157</v>
      </c>
      <c r="E45" s="147"/>
      <c r="F45" s="147"/>
      <c r="G45" s="147"/>
      <c r="H45" s="147"/>
      <c r="I45" s="147"/>
      <c r="J45" s="147"/>
      <c r="K45" s="167"/>
      <c r="L45" s="1223"/>
      <c r="M45" s="694" cm="1">
        <f t="array" ref="M45">SUM(Scores!$B38:M38)*programFactor</f>
        <v>235.5</v>
      </c>
      <c r="N45" s="684">
        <f>IF(COUNT(Scores!$B38:M38)&gt;0,AVERAGE(Scores!$B38:M38)*programFactor,0)</f>
        <v>21.40909090909091</v>
      </c>
      <c r="O45" s="684">
        <f>IF(COUNT(Scores!$B38:M38)&gt;0,MEDIAN(Scores!$B38:M38)*programFactor,0)</f>
        <v>22.5</v>
      </c>
      <c r="P45" s="685" cm="1">
        <f t="array" ref="P45">IF(getmode(Scores!$B38:M38)="","",getmode(Scores!$B38:M38)*programFactor)</f>
        <v>30</v>
      </c>
      <c r="Q45" s="147"/>
      <c r="R45" s="147"/>
      <c r="S45" s="147"/>
    </row>
    <row r="46" spans="1:19" ht="12.75" customHeight="1" x14ac:dyDescent="0.2">
      <c r="A46" s="81">
        <f t="shared" si="0"/>
        <v>44</v>
      </c>
      <c r="B46" s="82" t="s">
        <v>398</v>
      </c>
      <c r="C46" s="63" t="str" cm="1">
        <f t="array" ref="C46" xml:space="preserve"> INDEX(program_table,A46,1)</f>
        <v>Range Sports: Muzzleloader Shooting</v>
      </c>
      <c r="D46" s="106">
        <f>SUM(Scores!B39:M39)</f>
        <v>129</v>
      </c>
      <c r="E46" s="147"/>
      <c r="F46" s="147"/>
      <c r="G46" s="147"/>
      <c r="H46" s="147"/>
      <c r="I46" s="147"/>
      <c r="J46" s="147"/>
      <c r="K46" s="167"/>
      <c r="L46" s="1223"/>
      <c r="M46" s="694" cm="1">
        <f t="array" ref="M46">SUM(Scores!$B39:M39)*programFactor</f>
        <v>193.5</v>
      </c>
      <c r="N46" s="684">
        <f>IF(COUNT(Scores!$B39:M39)&gt;0,AVERAGE(Scores!$B39:M39)*programFactor,0)</f>
        <v>19.350000000000001</v>
      </c>
      <c r="O46" s="684">
        <f>IF(COUNT(Scores!$B39:M39)&gt;0,MEDIAN(Scores!$B39:M39)*programFactor,0)</f>
        <v>18</v>
      </c>
      <c r="P46" s="685" cm="1">
        <f t="array" ref="P46">IF(getmode(Scores!$B39:M39)="","",getmode(Scores!$B39:M39)*programFactor)</f>
        <v>10.5</v>
      </c>
      <c r="Q46" s="147"/>
      <c r="R46" s="147"/>
      <c r="S46" s="147"/>
    </row>
    <row r="47" spans="1:19" ht="12.75" customHeight="1" x14ac:dyDescent="0.2">
      <c r="A47" s="81">
        <f t="shared" si="0"/>
        <v>45</v>
      </c>
      <c r="B47" s="82" t="s">
        <v>398</v>
      </c>
      <c r="C47" s="63" t="str" cm="1">
        <f t="array" ref="C47" xml:space="preserve"> INDEX(program_table,A47,1)</f>
        <v>Range Sports: Rifle Shooting</v>
      </c>
      <c r="D47" s="106">
        <f>SUM(Scores!B40:M40)</f>
        <v>101</v>
      </c>
      <c r="E47" s="147"/>
      <c r="F47" s="147"/>
      <c r="G47" s="147"/>
      <c r="H47" s="147"/>
      <c r="I47" s="147"/>
      <c r="J47" s="147"/>
      <c r="K47" s="167"/>
      <c r="L47" s="1223"/>
      <c r="M47" s="694" cm="1">
        <f t="array" ref="M47">SUM(Scores!$B40:M40)*programFactor</f>
        <v>151.5</v>
      </c>
      <c r="N47" s="684">
        <f>IF(COUNT(Scores!$B40:M40)&gt;0,AVERAGE(Scores!$B40:M40)*programFactor,0)</f>
        <v>12.625</v>
      </c>
      <c r="O47" s="684">
        <f>IF(COUNT(Scores!$B40:M40)&gt;0,MEDIAN(Scores!$B40:M40)*programFactor,0)</f>
        <v>15</v>
      </c>
      <c r="P47" s="685" cm="1">
        <f t="array" ref="P47">IF(getmode(Scores!$B40:M40)="","",getmode(Scores!$B40:M40)*programFactor)</f>
        <v>15</v>
      </c>
      <c r="Q47" s="147"/>
      <c r="R47" s="147"/>
      <c r="S47" s="147"/>
    </row>
    <row r="48" spans="1:19" ht="12.75" customHeight="1" x14ac:dyDescent="0.2">
      <c r="A48" s="81">
        <f t="shared" si="0"/>
        <v>46</v>
      </c>
      <c r="B48" s="82" t="s">
        <v>398</v>
      </c>
      <c r="C48" s="63" t="str" cm="1">
        <f t="array" ref="C48" xml:space="preserve"> INDEX(program_table,A48,1)</f>
        <v>Range Sports: Shotgun Shooting</v>
      </c>
      <c r="D48" s="106">
        <f>SUM(Scores!B41:M41)</f>
        <v>91</v>
      </c>
      <c r="E48" s="147"/>
      <c r="F48" s="147"/>
      <c r="G48" s="147"/>
      <c r="H48" s="147"/>
      <c r="I48" s="147"/>
      <c r="J48" s="147"/>
      <c r="K48" s="167"/>
      <c r="L48" s="1223"/>
      <c r="M48" s="694" cm="1">
        <f t="array" ref="M48">SUM(Scores!$B41:M41)*programFactor</f>
        <v>136.5</v>
      </c>
      <c r="N48" s="684">
        <f>IF(COUNT(Scores!$B41:M41)&gt;0,AVERAGE(Scores!$B41:M41)*programFactor,0)</f>
        <v>11.375</v>
      </c>
      <c r="O48" s="684">
        <f>IF(COUNT(Scores!$B41:M41)&gt;0,MEDIAN(Scores!$B41:M41)*programFactor,0)</f>
        <v>9</v>
      </c>
      <c r="P48" s="685" cm="1">
        <f t="array" ref="P48">IF(getmode(Scores!$B41:M41)="","",getmode(Scores!$B41:M41)*programFactor)</f>
        <v>7.5</v>
      </c>
      <c r="Q48" s="147"/>
      <c r="R48" s="147"/>
      <c r="S48" s="147"/>
    </row>
    <row r="49" spans="1:19" ht="12.75" customHeight="1" x14ac:dyDescent="0.2">
      <c r="A49" s="81">
        <f t="shared" si="0"/>
        <v>47</v>
      </c>
      <c r="B49" s="82" t="s">
        <v>398</v>
      </c>
      <c r="C49" s="63" t="str" cm="1">
        <f t="array" ref="C49" xml:space="preserve"> INDEX(program_table,A49,1)</f>
        <v>Range Sports: Shotshell Reloading</v>
      </c>
      <c r="D49" s="106">
        <f>SUM(Scores!B42:M42)</f>
        <v>135</v>
      </c>
      <c r="E49" s="147"/>
      <c r="F49" s="147"/>
      <c r="G49" s="147"/>
      <c r="H49" s="147"/>
      <c r="I49" s="147"/>
      <c r="J49" s="147"/>
      <c r="K49" s="167"/>
      <c r="L49" s="1223"/>
      <c r="M49" s="694" cm="1">
        <f t="array" ref="M49">SUM(Scores!$B42:M42)*programFactor</f>
        <v>202.5</v>
      </c>
      <c r="N49" s="684">
        <f>IF(COUNT(Scores!$B42:M42)&gt;0,AVERAGE(Scores!$B42:M42)*programFactor,0)</f>
        <v>18.40909090909091</v>
      </c>
      <c r="O49" s="684">
        <f>IF(COUNT(Scores!$B42:M42)&gt;0,MEDIAN(Scores!$B42:M42)*programFactor,0)</f>
        <v>19.5</v>
      </c>
      <c r="P49" s="685" cm="1">
        <f t="array" ref="P49">IF(getmode(Scores!$B42:M42)="","",getmode(Scores!$B42:M42)*programFactor)</f>
        <v>19.5</v>
      </c>
      <c r="Q49" s="147"/>
      <c r="R49" s="147"/>
      <c r="S49" s="147"/>
    </row>
    <row r="50" spans="1:19" ht="12.75" customHeight="1" x14ac:dyDescent="0.2">
      <c r="A50" s="81">
        <f t="shared" si="0"/>
        <v>48</v>
      </c>
      <c r="B50" s="82" t="s">
        <v>398</v>
      </c>
      <c r="C50" s="63" t="str" cm="1">
        <f t="array" ref="C50" xml:space="preserve"> INDEX(program_table,A50,1)</f>
        <v>Range Sports: Tomahawk Throwing</v>
      </c>
      <c r="D50" s="106">
        <f>SUM(Scores!B43:M43)</f>
        <v>138</v>
      </c>
      <c r="E50" s="147"/>
      <c r="F50" s="147"/>
      <c r="G50" s="147"/>
      <c r="H50" s="147"/>
      <c r="I50" s="147"/>
      <c r="J50" s="147"/>
      <c r="K50" s="167"/>
      <c r="L50" s="1223"/>
      <c r="M50" s="694" cm="1">
        <f t="array" ref="M50">SUM(Scores!$B43:M43)*programFactor</f>
        <v>207</v>
      </c>
      <c r="N50" s="684">
        <f>IF(COUNT(Scores!$B43:M43)&gt;0,AVERAGE(Scores!$B43:M43)*programFactor,0)</f>
        <v>18.818181818181817</v>
      </c>
      <c r="O50" s="684">
        <f>IF(COUNT(Scores!$B43:M43)&gt;0,MEDIAN(Scores!$B43:M43)*programFactor,0)</f>
        <v>18</v>
      </c>
      <c r="P50" s="685" cm="1">
        <f t="array" ref="P50">IF(getmode(Scores!$B43:M43)="","",getmode(Scores!$B43:M43)*programFactor)</f>
        <v>15</v>
      </c>
      <c r="Q50" s="147"/>
      <c r="R50" s="147"/>
      <c r="S50" s="147"/>
    </row>
    <row r="51" spans="1:19" ht="12.75" customHeight="1" x14ac:dyDescent="0.2">
      <c r="A51" s="81">
        <f t="shared" si="0"/>
        <v>49</v>
      </c>
      <c r="B51" s="82" t="s">
        <v>398</v>
      </c>
      <c r="C51" s="63" t="str" cm="1">
        <f t="array" ref="C51" xml:space="preserve"> INDEX(program_table,A51,1)</f>
        <v>STEM: Archeology</v>
      </c>
      <c r="D51" s="106">
        <f>SUM(Scores!B50:M50)</f>
        <v>138</v>
      </c>
      <c r="E51" s="147"/>
      <c r="F51" s="147"/>
      <c r="G51" s="147"/>
      <c r="H51" s="147"/>
      <c r="I51" s="147"/>
      <c r="J51" s="147"/>
      <c r="K51" s="167"/>
      <c r="L51" s="1223"/>
      <c r="M51" s="694" cm="1">
        <f t="array" ref="M51">SUM(Scores!$B50:M50)*programFactor</f>
        <v>207</v>
      </c>
      <c r="N51" s="684">
        <f>IF(COUNT(Scores!$B50:M50)&gt;0,AVERAGE(Scores!$B50:M50)*programFactor,0)</f>
        <v>18.818181818181817</v>
      </c>
      <c r="O51" s="684">
        <f>IF(COUNT(Scores!$B50:M50)&gt;0,MEDIAN(Scores!$B50:M50)*programFactor,0)</f>
        <v>18</v>
      </c>
      <c r="P51" s="685" cm="1">
        <f t="array" ref="P51">IF(getmode(Scores!$B50:M50)="","",getmode(Scores!$B50:M50)*programFactor)</f>
        <v>15</v>
      </c>
      <c r="Q51" s="147"/>
      <c r="R51" s="147"/>
      <c r="S51" s="147"/>
    </row>
    <row r="52" spans="1:19" ht="12.75" customHeight="1" x14ac:dyDescent="0.2">
      <c r="A52" s="81">
        <f t="shared" si="0"/>
        <v>50</v>
      </c>
      <c r="B52" s="82" t="s">
        <v>398</v>
      </c>
      <c r="C52" s="63" t="str" cm="1">
        <f t="array" ref="C52" xml:space="preserve"> INDEX(program_table,A52,1)</f>
        <v>STEM: Astronomy</v>
      </c>
      <c r="D52" s="106">
        <f>SUM(Scores!B51:M51)</f>
        <v>138</v>
      </c>
      <c r="E52" s="147"/>
      <c r="F52" s="147"/>
      <c r="G52" s="147"/>
      <c r="H52" s="147"/>
      <c r="I52" s="147"/>
      <c r="J52" s="147"/>
      <c r="K52" s="167"/>
      <c r="L52" s="1223"/>
      <c r="M52" s="694" cm="1">
        <f t="array" ref="M52">SUM(Scores!$B51:M51)*programFactor</f>
        <v>207</v>
      </c>
      <c r="N52" s="684">
        <f>IF(COUNT(Scores!$B51:M51)&gt;0,AVERAGE(Scores!$B51:M51)*programFactor,0)</f>
        <v>18.818181818181817</v>
      </c>
      <c r="O52" s="684">
        <f>IF(COUNT(Scores!$B51:M51)&gt;0,MEDIAN(Scores!$B51:M51)*programFactor,0)</f>
        <v>18</v>
      </c>
      <c r="P52" s="685" cm="1">
        <f t="array" ref="P52">IF(getmode(Scores!$B51:M51)="","",getmode(Scores!$B51:M51)*programFactor)</f>
        <v>15</v>
      </c>
      <c r="Q52" s="147"/>
      <c r="R52" s="147"/>
      <c r="S52" s="147"/>
    </row>
    <row r="53" spans="1:19" ht="12.75" customHeight="1" x14ac:dyDescent="0.2">
      <c r="A53" s="81">
        <f t="shared" si="0"/>
        <v>51</v>
      </c>
      <c r="B53" s="82" t="s">
        <v>398</v>
      </c>
      <c r="C53" s="63" t="str" cm="1">
        <f t="array" ref="C53" xml:space="preserve"> INDEX(program_table,A53,1)</f>
        <v>STEM: Geology</v>
      </c>
      <c r="D53" s="106">
        <f>SUM(Scores!B52:M52)</f>
        <v>61</v>
      </c>
      <c r="E53" s="147"/>
      <c r="F53" s="147"/>
      <c r="G53" s="147"/>
      <c r="H53" s="147"/>
      <c r="I53" s="147"/>
      <c r="J53" s="147"/>
      <c r="K53" s="167"/>
      <c r="L53" s="1223"/>
      <c r="M53" s="694" cm="1">
        <f t="array" ref="M53">SUM(Scores!$B52:M52)*programFactor</f>
        <v>91.5</v>
      </c>
      <c r="N53" s="684">
        <f>IF(COUNT(Scores!$B52:M52)&gt;0,AVERAGE(Scores!$B52:M52)*programFactor,0)</f>
        <v>9.1499999999999986</v>
      </c>
      <c r="O53" s="684">
        <f>IF(COUNT(Scores!$B52:M52)&gt;0,MEDIAN(Scores!$B52:M52)*programFactor,0)</f>
        <v>7.5</v>
      </c>
      <c r="P53" s="685" cm="1">
        <f t="array" ref="P53">IF(getmode(Scores!$B52:M52)="","",getmode(Scores!$B52:M52)*programFactor)</f>
        <v>0</v>
      </c>
      <c r="Q53" s="147"/>
      <c r="R53" s="147"/>
      <c r="S53" s="147"/>
    </row>
    <row r="54" spans="1:19" ht="12.75" customHeight="1" x14ac:dyDescent="0.2">
      <c r="A54" s="81">
        <f t="shared" si="0"/>
        <v>52</v>
      </c>
      <c r="B54" s="82" t="s">
        <v>398</v>
      </c>
      <c r="C54" s="63" t="str" cm="1">
        <f t="array" ref="C54" xml:space="preserve"> INDEX(program_table,A54,1)</f>
        <v>Western Lore: Branding</v>
      </c>
      <c r="D54" s="106">
        <f>SUM(Scores!B53:M53)</f>
        <v>157</v>
      </c>
      <c r="E54" s="147"/>
      <c r="F54" s="147"/>
      <c r="G54" s="147"/>
      <c r="H54" s="147"/>
      <c r="I54" s="147"/>
      <c r="J54" s="147"/>
      <c r="K54" s="167">
        <v>31</v>
      </c>
      <c r="L54" s="1223"/>
      <c r="M54" s="694" cm="1">
        <f t="array" ref="M54">SUM(Scores!$B53:M53)*programFactor</f>
        <v>235.5</v>
      </c>
      <c r="N54" s="684">
        <f>IF(COUNT(Scores!$B53:M53)&gt;0,AVERAGE(Scores!$B53:M53)*programFactor,0)</f>
        <v>23.549999999999997</v>
      </c>
      <c r="O54" s="684">
        <f>IF(COUNT(Scores!$B53:M53)&gt;0,MEDIAN(Scores!$B53:M53)*programFactor,0)</f>
        <v>24.75</v>
      </c>
      <c r="P54" s="685" cm="1">
        <f t="array" ref="P54">IF(getmode(Scores!$B53:M53)="","",getmode(Scores!$B53:M53)*programFactor)</f>
        <v>30</v>
      </c>
      <c r="Q54" s="147"/>
      <c r="R54" s="147"/>
      <c r="S54" s="147"/>
    </row>
    <row r="55" spans="1:19" ht="12.75" customHeight="1" x14ac:dyDescent="0.2">
      <c r="A55" s="81">
        <f t="shared" si="0"/>
        <v>53</v>
      </c>
      <c r="B55" s="82" t="s">
        <v>398</v>
      </c>
      <c r="C55" s="63" t="str" cm="1">
        <f t="array" ref="C55" xml:space="preserve"> INDEX(program_table,A55,1)</f>
        <v>Western Lore: Cantina</v>
      </c>
      <c r="D55" s="106">
        <f>SUM(Scores!B54:M54)</f>
        <v>89</v>
      </c>
      <c r="E55" s="147"/>
      <c r="F55" s="147"/>
      <c r="G55" s="147"/>
      <c r="H55" s="147"/>
      <c r="I55" s="147"/>
      <c r="J55" s="147"/>
      <c r="K55" s="167"/>
      <c r="L55" s="1223"/>
      <c r="M55" s="694" cm="1">
        <f t="array" ref="M55">SUM(Scores!$B54:M54)*programFactor</f>
        <v>133.5</v>
      </c>
      <c r="N55" s="684">
        <f>IF(COUNT(Scores!$B54:M54)&gt;0,AVERAGE(Scores!$B54:M54)*programFactor,0)</f>
        <v>16.6875</v>
      </c>
      <c r="O55" s="684">
        <f>IF(COUNT(Scores!$B54:M54)&gt;0,MEDIAN(Scores!$B54:M54)*programFactor,0)</f>
        <v>15.75</v>
      </c>
      <c r="P55" s="685" cm="1">
        <f t="array" ref="P55">IF(getmode(Scores!$B54:M54)="","",getmode(Scores!$B54:M54)*programFactor)</f>
        <v>0</v>
      </c>
      <c r="Q55" s="147"/>
      <c r="R55" s="147"/>
      <c r="S55" s="147"/>
    </row>
    <row r="56" spans="1:19" ht="12.75" customHeight="1" thickBot="1" x14ac:dyDescent="0.25">
      <c r="A56" s="598">
        <f t="shared" si="0"/>
        <v>54</v>
      </c>
      <c r="B56" s="599" t="s">
        <v>398</v>
      </c>
      <c r="C56" s="600" t="str" cm="1">
        <f t="array" ref="C56" xml:space="preserve"> INDEX(program_table,A56,1)</f>
        <v>Western Lore: Roping</v>
      </c>
      <c r="D56" s="601">
        <f>SUM(Scores!B55:M55)</f>
        <v>190</v>
      </c>
      <c r="E56" s="147"/>
      <c r="F56" s="147"/>
      <c r="G56" s="147"/>
      <c r="H56" s="147"/>
      <c r="I56" s="147"/>
      <c r="J56" s="147"/>
      <c r="K56" s="167">
        <v>31</v>
      </c>
      <c r="L56" s="1224"/>
      <c r="M56" s="695" cm="1">
        <f t="array" ref="M56">SUM(Scores!$B55:M55)*programFactor</f>
        <v>285</v>
      </c>
      <c r="N56" s="686">
        <f>IF(COUNT(Scores!$B55:M55)&gt;0,AVERAGE(Scores!$B55:M55)*programFactor,0)</f>
        <v>25.90909090909091</v>
      </c>
      <c r="O56" s="686">
        <f>IF(COUNT(Scores!$B55:M55)&gt;0,MEDIAN(Scores!$B55:M55)*programFactor,0)</f>
        <v>27</v>
      </c>
      <c r="P56" s="687" cm="1">
        <f t="array" ref="P56">IF(getmode(Scores!$B55:M55)="","",getmode(Scores!$B55:M55)*programFactor)</f>
        <v>30</v>
      </c>
      <c r="Q56" s="147"/>
      <c r="R56" s="147"/>
      <c r="S56" s="147"/>
    </row>
    <row r="57" spans="1:19" ht="12.75" customHeight="1" x14ac:dyDescent="0.2">
      <c r="A57" s="602">
        <f t="shared" ref="A57:A84" si="1">A56+1</f>
        <v>55</v>
      </c>
      <c r="B57" s="603" t="s">
        <v>317</v>
      </c>
      <c r="C57" s="604" t="s">
        <v>418</v>
      </c>
      <c r="D57" s="720">
        <v>2</v>
      </c>
      <c r="E57" s="147"/>
      <c r="F57" s="147"/>
      <c r="G57" s="147"/>
      <c r="H57" s="147"/>
      <c r="I57" s="147"/>
      <c r="J57" s="147"/>
      <c r="K57" s="167"/>
      <c r="L57" s="169"/>
      <c r="M57" s="616"/>
      <c r="N57" s="616"/>
      <c r="O57" s="616"/>
      <c r="P57" s="616"/>
      <c r="Q57" s="147"/>
      <c r="R57" s="147"/>
      <c r="S57" s="147"/>
    </row>
    <row r="58" spans="1:19" ht="12.75" customHeight="1" x14ac:dyDescent="0.2">
      <c r="A58" s="605">
        <f t="shared" si="1"/>
        <v>56</v>
      </c>
      <c r="B58" s="606" t="s">
        <v>317</v>
      </c>
      <c r="C58" s="607" t="s">
        <v>297</v>
      </c>
      <c r="D58" s="721">
        <v>1.5</v>
      </c>
      <c r="E58" s="147"/>
      <c r="F58" s="147"/>
      <c r="G58" s="147"/>
      <c r="H58" s="147"/>
      <c r="I58" s="147"/>
      <c r="J58" s="147"/>
      <c r="K58" s="167"/>
      <c r="L58" s="169"/>
      <c r="M58" s="616"/>
      <c r="N58" s="616"/>
      <c r="O58" s="616"/>
      <c r="P58" s="616"/>
      <c r="Q58" s="147"/>
      <c r="R58" s="147"/>
      <c r="S58" s="147"/>
    </row>
    <row r="59" spans="1:19" ht="12.75" customHeight="1" x14ac:dyDescent="0.2">
      <c r="A59" s="605">
        <f t="shared" si="1"/>
        <v>57</v>
      </c>
      <c r="B59" s="606" t="s">
        <v>317</v>
      </c>
      <c r="C59" s="607" t="s">
        <v>7</v>
      </c>
      <c r="D59" s="721">
        <v>1.5</v>
      </c>
      <c r="E59" s="147"/>
      <c r="F59" s="147"/>
      <c r="G59" s="147"/>
      <c r="H59" s="147"/>
      <c r="I59" s="147"/>
      <c r="J59" s="147"/>
      <c r="K59" s="167"/>
      <c r="L59" s="169"/>
      <c r="M59" s="616"/>
      <c r="N59" s="616"/>
      <c r="O59" s="616"/>
      <c r="P59" s="616"/>
      <c r="Q59" s="147"/>
      <c r="R59" s="147"/>
      <c r="S59" s="147"/>
    </row>
    <row r="60" spans="1:19" ht="12.75" customHeight="1" x14ac:dyDescent="0.2">
      <c r="A60" s="605">
        <f t="shared" si="1"/>
        <v>58</v>
      </c>
      <c r="B60" s="606" t="s">
        <v>317</v>
      </c>
      <c r="C60" s="961" t="s">
        <v>551</v>
      </c>
      <c r="D60" s="721">
        <v>1</v>
      </c>
      <c r="E60" s="147"/>
      <c r="F60" s="147"/>
      <c r="G60" s="147"/>
      <c r="H60" s="147"/>
      <c r="I60" s="147"/>
      <c r="J60" s="147"/>
      <c r="K60" s="167"/>
      <c r="L60" s="169"/>
      <c r="M60" s="616"/>
      <c r="N60" s="616"/>
      <c r="O60" s="616"/>
      <c r="P60" s="616"/>
      <c r="Q60" s="147"/>
      <c r="R60" s="147"/>
      <c r="S60" s="147"/>
    </row>
    <row r="61" spans="1:19" ht="12.75" customHeight="1" x14ac:dyDescent="0.2">
      <c r="A61" s="605">
        <f t="shared" si="1"/>
        <v>59</v>
      </c>
      <c r="B61" s="606" t="s">
        <v>317</v>
      </c>
      <c r="C61" s="607" t="s">
        <v>32</v>
      </c>
      <c r="D61" s="721">
        <v>1.5</v>
      </c>
      <c r="E61" s="147"/>
      <c r="F61" s="147"/>
      <c r="G61" s="147"/>
      <c r="H61" s="147"/>
      <c r="I61" s="147"/>
      <c r="J61" s="147"/>
      <c r="K61" s="167"/>
      <c r="L61" s="169"/>
      <c r="M61" s="616"/>
      <c r="N61" s="616"/>
      <c r="O61" s="616"/>
      <c r="P61" s="616"/>
      <c r="Q61" s="147"/>
      <c r="R61" s="147"/>
      <c r="S61" s="147"/>
    </row>
    <row r="62" spans="1:19" ht="12.75" customHeight="1" thickBot="1" x14ac:dyDescent="0.25">
      <c r="A62" s="608">
        <f t="shared" si="1"/>
        <v>60</v>
      </c>
      <c r="B62" s="609" t="s">
        <v>317</v>
      </c>
      <c r="C62" s="610" t="s">
        <v>419</v>
      </c>
      <c r="D62" s="722">
        <v>1.2</v>
      </c>
      <c r="H62" s="147"/>
      <c r="I62" s="147"/>
      <c r="J62" s="147"/>
      <c r="K62" s="167"/>
      <c r="L62" s="169"/>
      <c r="M62" s="616"/>
      <c r="N62" s="616"/>
      <c r="O62" s="616"/>
      <c r="P62" s="616"/>
      <c r="Q62" s="147"/>
      <c r="R62" s="147"/>
      <c r="S62" s="147"/>
    </row>
    <row r="63" spans="1:19" ht="12.75" customHeight="1" x14ac:dyDescent="0.2">
      <c r="A63" s="83">
        <f t="shared" si="1"/>
        <v>61</v>
      </c>
      <c r="B63" s="84" t="s">
        <v>6</v>
      </c>
      <c r="C63" s="613" t="s">
        <v>439</v>
      </c>
      <c r="D63" s="107">
        <f>IF(UPPER(areaImportant)="Y",INDEX(areaDefaults,Preferences!B7),0)</f>
        <v>200</v>
      </c>
      <c r="I63" s="118">
        <v>1</v>
      </c>
      <c r="J63" s="119">
        <v>1000</v>
      </c>
      <c r="L63" s="87"/>
      <c r="M63" s="87"/>
      <c r="Q63" s="147"/>
      <c r="R63" s="147"/>
      <c r="S63" s="147"/>
    </row>
    <row r="64" spans="1:19" x14ac:dyDescent="0.2">
      <c r="A64" s="85">
        <f t="shared" si="1"/>
        <v>62</v>
      </c>
      <c r="B64" s="86" t="s">
        <v>6</v>
      </c>
      <c r="C64" s="614" t="s">
        <v>440</v>
      </c>
      <c r="D64" s="108">
        <f>IF(UPPER(areaImportant)="Y",INDEX(areaDefaults,Preferences!B8),0)</f>
        <v>150</v>
      </c>
      <c r="I64" s="120">
        <v>2</v>
      </c>
      <c r="J64" s="121">
        <v>600</v>
      </c>
      <c r="K64" s="87" t="str">
        <f>IF(areaImportant="y","Preferences setting is that area is important", "Preferences setting is that area is not important")</f>
        <v>Preferences setting is that area is important</v>
      </c>
      <c r="L64" s="87"/>
      <c r="M64" s="87"/>
      <c r="Q64" s="147"/>
      <c r="R64" s="147"/>
      <c r="S64" s="147"/>
    </row>
    <row r="65" spans="1:15" x14ac:dyDescent="0.2">
      <c r="A65" s="85">
        <f t="shared" si="1"/>
        <v>63</v>
      </c>
      <c r="B65" s="86" t="s">
        <v>6</v>
      </c>
      <c r="C65" s="614" t="s">
        <v>441</v>
      </c>
      <c r="D65" s="108">
        <f>IF(UPPER(areaImportant)="Y",INDEX(areaDefaults,Preferences!B9),0)</f>
        <v>1000</v>
      </c>
      <c r="I65" s="120">
        <v>3</v>
      </c>
      <c r="J65" s="121">
        <v>200</v>
      </c>
      <c r="K65" s="87" t="str">
        <f>IF(areaImportant="y","These are the default values — MAKE CHANGES HERE", "")</f>
        <v>These are the default values — MAKE CHANGES HERE</v>
      </c>
      <c r="L65" s="87"/>
      <c r="M65" s="87"/>
    </row>
    <row r="66" spans="1:15" ht="13.5" thickBot="1" x14ac:dyDescent="0.25">
      <c r="A66" s="88">
        <f t="shared" si="1"/>
        <v>64</v>
      </c>
      <c r="B66" s="89" t="s">
        <v>6</v>
      </c>
      <c r="C66" s="615" t="s">
        <v>442</v>
      </c>
      <c r="D66" s="109">
        <f>IF(UPPER(areaImportant)="Y",INDEX(areaDefaults,Preferences!B10),0)</f>
        <v>600</v>
      </c>
      <c r="I66" s="122">
        <v>4</v>
      </c>
      <c r="J66" s="123">
        <v>150</v>
      </c>
      <c r="K66" s="87"/>
      <c r="L66" s="87"/>
      <c r="M66" s="87"/>
    </row>
    <row r="67" spans="1:15" x14ac:dyDescent="0.2">
      <c r="A67" s="734">
        <f t="shared" si="1"/>
        <v>65</v>
      </c>
      <c r="B67" s="735" t="s">
        <v>380</v>
      </c>
      <c r="C67" s="736">
        <v>1</v>
      </c>
      <c r="D67" s="737">
        <v>100</v>
      </c>
      <c r="I67" s="124"/>
      <c r="J67" s="371"/>
      <c r="K67" s="87"/>
      <c r="L67" s="87"/>
      <c r="M67" s="87"/>
    </row>
    <row r="68" spans="1:15" x14ac:dyDescent="0.2">
      <c r="A68" s="324">
        <f t="shared" si="1"/>
        <v>66</v>
      </c>
      <c r="B68" s="325" t="s">
        <v>380</v>
      </c>
      <c r="C68" s="592">
        <v>2</v>
      </c>
      <c r="D68" s="372">
        <v>90</v>
      </c>
      <c r="I68" s="124"/>
      <c r="J68" s="371"/>
      <c r="K68" s="87"/>
      <c r="L68" s="87"/>
      <c r="M68" s="87"/>
    </row>
    <row r="69" spans="1:15" x14ac:dyDescent="0.2">
      <c r="A69" s="324">
        <f t="shared" si="1"/>
        <v>67</v>
      </c>
      <c r="B69" s="325" t="s">
        <v>380</v>
      </c>
      <c r="C69" s="592">
        <v>3</v>
      </c>
      <c r="D69" s="372">
        <v>80</v>
      </c>
      <c r="I69" s="124"/>
      <c r="J69" s="371"/>
      <c r="K69" s="87"/>
      <c r="L69" s="87"/>
      <c r="M69" s="87"/>
    </row>
    <row r="70" spans="1:15" x14ac:dyDescent="0.2">
      <c r="A70" s="324">
        <f t="shared" si="1"/>
        <v>68</v>
      </c>
      <c r="B70" s="325" t="s">
        <v>380</v>
      </c>
      <c r="C70" s="592">
        <v>4</v>
      </c>
      <c r="D70" s="372">
        <v>70</v>
      </c>
      <c r="I70" s="124"/>
      <c r="J70" s="371"/>
      <c r="K70" s="87"/>
      <c r="L70" s="87"/>
      <c r="M70" s="87"/>
    </row>
    <row r="71" spans="1:15" x14ac:dyDescent="0.2">
      <c r="A71" s="324">
        <f t="shared" si="1"/>
        <v>69</v>
      </c>
      <c r="B71" s="325" t="s">
        <v>380</v>
      </c>
      <c r="C71" s="592">
        <v>5</v>
      </c>
      <c r="D71" s="372">
        <v>60</v>
      </c>
      <c r="I71" s="124"/>
      <c r="J71" s="371"/>
      <c r="K71" s="87"/>
      <c r="L71" s="87"/>
      <c r="M71" s="87"/>
    </row>
    <row r="72" spans="1:15" ht="13.5" thickBot="1" x14ac:dyDescent="0.25">
      <c r="A72" s="738">
        <f t="shared" si="1"/>
        <v>70</v>
      </c>
      <c r="B72" s="739" t="s">
        <v>380</v>
      </c>
      <c r="C72" s="740">
        <v>6</v>
      </c>
      <c r="D72" s="741">
        <v>50</v>
      </c>
      <c r="I72" s="124"/>
      <c r="J72" s="371"/>
      <c r="K72" s="87"/>
      <c r="L72" s="87"/>
      <c r="M72" s="87"/>
    </row>
    <row r="73" spans="1:15" x14ac:dyDescent="0.2">
      <c r="A73" s="90">
        <f t="shared" si="1"/>
        <v>71</v>
      </c>
      <c r="B73" s="91" t="s">
        <v>381</v>
      </c>
      <c r="C73" s="593">
        <v>1</v>
      </c>
      <c r="D73" s="110">
        <v>20</v>
      </c>
      <c r="K73" s="124"/>
      <c r="L73" s="125"/>
      <c r="M73" s="87"/>
      <c r="N73" s="148"/>
      <c r="O73" s="148"/>
    </row>
    <row r="74" spans="1:15" x14ac:dyDescent="0.2">
      <c r="A74" s="90">
        <f t="shared" si="1"/>
        <v>72</v>
      </c>
      <c r="B74" s="91" t="s">
        <v>381</v>
      </c>
      <c r="C74" s="593">
        <v>2</v>
      </c>
      <c r="D74" s="110">
        <v>30</v>
      </c>
      <c r="K74" s="124"/>
      <c r="L74" s="125"/>
      <c r="M74" s="87"/>
      <c r="N74" s="148"/>
      <c r="O74" s="148"/>
    </row>
    <row r="75" spans="1:15" x14ac:dyDescent="0.2">
      <c r="A75" s="90">
        <f t="shared" si="1"/>
        <v>73</v>
      </c>
      <c r="B75" s="91" t="s">
        <v>381</v>
      </c>
      <c r="C75" s="593">
        <v>3</v>
      </c>
      <c r="D75" s="110">
        <v>40</v>
      </c>
      <c r="K75" s="124"/>
      <c r="L75" s="125"/>
      <c r="M75" s="87"/>
      <c r="N75" s="148"/>
      <c r="O75" s="148"/>
    </row>
    <row r="76" spans="1:15" x14ac:dyDescent="0.2">
      <c r="A76" s="90">
        <f t="shared" si="1"/>
        <v>74</v>
      </c>
      <c r="B76" s="91" t="s">
        <v>381</v>
      </c>
      <c r="C76" s="593">
        <v>4</v>
      </c>
      <c r="D76" s="110">
        <v>50</v>
      </c>
      <c r="K76" s="124"/>
      <c r="L76" s="125"/>
      <c r="M76" s="87"/>
      <c r="N76" s="148"/>
      <c r="O76" s="148"/>
    </row>
    <row r="77" spans="1:15" x14ac:dyDescent="0.2">
      <c r="A77" s="90">
        <f t="shared" si="1"/>
        <v>75</v>
      </c>
      <c r="B77" s="91" t="s">
        <v>381</v>
      </c>
      <c r="C77" s="593">
        <v>5</v>
      </c>
      <c r="D77" s="110">
        <v>60</v>
      </c>
      <c r="K77" s="124"/>
      <c r="L77" s="125"/>
      <c r="M77" s="87"/>
      <c r="N77" s="148"/>
      <c r="O77" s="148"/>
    </row>
    <row r="78" spans="1:15" x14ac:dyDescent="0.2">
      <c r="A78" s="90">
        <f t="shared" si="1"/>
        <v>76</v>
      </c>
      <c r="B78" s="91" t="s">
        <v>381</v>
      </c>
      <c r="C78" s="593">
        <v>6</v>
      </c>
      <c r="D78" s="110">
        <v>70</v>
      </c>
      <c r="K78" s="124"/>
      <c r="L78" s="125"/>
      <c r="M78" s="87"/>
      <c r="N78" s="148"/>
      <c r="O78" s="148"/>
    </row>
    <row r="79" spans="1:15" x14ac:dyDescent="0.2">
      <c r="A79" s="90">
        <f t="shared" si="1"/>
        <v>77</v>
      </c>
      <c r="B79" s="91" t="s">
        <v>381</v>
      </c>
      <c r="C79" s="593">
        <v>7</v>
      </c>
      <c r="D79" s="110">
        <v>80</v>
      </c>
      <c r="K79" s="124"/>
      <c r="L79" s="125"/>
      <c r="M79" s="87"/>
      <c r="N79" s="148"/>
      <c r="O79" s="148"/>
    </row>
    <row r="80" spans="1:15" x14ac:dyDescent="0.2">
      <c r="A80" s="90">
        <f t="shared" si="1"/>
        <v>78</v>
      </c>
      <c r="B80" s="91" t="s">
        <v>381</v>
      </c>
      <c r="C80" s="593">
        <v>8</v>
      </c>
      <c r="D80" s="110">
        <v>90</v>
      </c>
      <c r="K80" s="124"/>
      <c r="L80" s="125"/>
      <c r="M80" s="87"/>
      <c r="N80" s="148"/>
      <c r="O80" s="148"/>
    </row>
    <row r="81" spans="1:15" ht="13.5" thickBot="1" x14ac:dyDescent="0.25">
      <c r="A81" s="92">
        <f t="shared" si="1"/>
        <v>79</v>
      </c>
      <c r="B81" s="93" t="s">
        <v>381</v>
      </c>
      <c r="C81" s="594">
        <v>9</v>
      </c>
      <c r="D81" s="111">
        <v>100</v>
      </c>
      <c r="K81" s="124"/>
      <c r="L81" s="125"/>
      <c r="M81" s="87"/>
      <c r="N81" s="148"/>
      <c r="O81" s="148"/>
    </row>
    <row r="82" spans="1:15" x14ac:dyDescent="0.2">
      <c r="A82" s="94">
        <f t="shared" si="1"/>
        <v>80</v>
      </c>
      <c r="B82" s="95" t="s">
        <v>3</v>
      </c>
      <c r="C82" s="595">
        <v>0</v>
      </c>
      <c r="D82" s="112">
        <v>250</v>
      </c>
      <c r="K82" s="124"/>
      <c r="L82" s="126"/>
      <c r="M82" s="87"/>
      <c r="N82" s="148"/>
      <c r="O82" s="148"/>
    </row>
    <row r="83" spans="1:15" x14ac:dyDescent="0.2">
      <c r="A83" s="94">
        <f t="shared" si="1"/>
        <v>81</v>
      </c>
      <c r="B83" s="95" t="s">
        <v>3</v>
      </c>
      <c r="C83" s="595">
        <v>1</v>
      </c>
      <c r="D83" s="112">
        <v>200</v>
      </c>
      <c r="K83" s="124"/>
      <c r="L83" s="126"/>
      <c r="M83" s="87"/>
      <c r="N83" s="148"/>
      <c r="O83" s="148"/>
    </row>
    <row r="84" spans="1:15" x14ac:dyDescent="0.2">
      <c r="A84" s="94">
        <f t="shared" si="1"/>
        <v>82</v>
      </c>
      <c r="B84" s="95" t="s">
        <v>3</v>
      </c>
      <c r="C84" s="595">
        <v>2</v>
      </c>
      <c r="D84" s="112">
        <v>175</v>
      </c>
      <c r="K84" s="124"/>
      <c r="L84" s="126"/>
      <c r="M84" s="87"/>
      <c r="N84" s="148"/>
      <c r="O84" s="148"/>
    </row>
    <row r="85" spans="1:15" x14ac:dyDescent="0.2">
      <c r="A85" s="94">
        <f>A84+1</f>
        <v>83</v>
      </c>
      <c r="B85" s="95" t="s">
        <v>3</v>
      </c>
      <c r="C85" s="595">
        <v>3</v>
      </c>
      <c r="D85" s="112">
        <v>150</v>
      </c>
      <c r="K85" s="124"/>
      <c r="L85" s="126"/>
      <c r="M85" s="87"/>
      <c r="N85" s="148"/>
      <c r="O85" s="148"/>
    </row>
    <row r="86" spans="1:15" x14ac:dyDescent="0.2">
      <c r="A86" s="94">
        <f>A85+1</f>
        <v>84</v>
      </c>
      <c r="B86" s="95" t="s">
        <v>3</v>
      </c>
      <c r="C86" s="595">
        <v>4</v>
      </c>
      <c r="D86" s="112">
        <v>125</v>
      </c>
      <c r="K86" s="124"/>
      <c r="L86" s="126"/>
      <c r="M86" s="87"/>
      <c r="N86" s="148"/>
      <c r="O86" s="148"/>
    </row>
    <row r="87" spans="1:15" x14ac:dyDescent="0.2">
      <c r="A87" s="94">
        <f>A86+1</f>
        <v>85</v>
      </c>
      <c r="B87" s="95" t="s">
        <v>3</v>
      </c>
      <c r="C87" s="595">
        <v>5</v>
      </c>
      <c r="D87" s="112">
        <v>100</v>
      </c>
      <c r="K87" s="124"/>
      <c r="L87" s="126"/>
      <c r="M87" s="87"/>
      <c r="N87" s="148"/>
      <c r="O87" s="148"/>
    </row>
    <row r="88" spans="1:15" x14ac:dyDescent="0.2">
      <c r="A88" s="94">
        <f>A87+1</f>
        <v>86</v>
      </c>
      <c r="B88" s="95" t="s">
        <v>3</v>
      </c>
      <c r="C88" s="595">
        <v>6</v>
      </c>
      <c r="D88" s="112">
        <v>75</v>
      </c>
      <c r="K88" s="124"/>
      <c r="L88" s="126"/>
      <c r="M88" s="87"/>
      <c r="N88" s="148"/>
      <c r="O88" s="148"/>
    </row>
    <row r="89" spans="1:15" x14ac:dyDescent="0.2">
      <c r="A89" s="94">
        <f t="shared" ref="A89:A143" si="2">A88+1</f>
        <v>87</v>
      </c>
      <c r="B89" s="95" t="s">
        <v>3</v>
      </c>
      <c r="C89" s="595">
        <v>7</v>
      </c>
      <c r="D89" s="112">
        <v>50</v>
      </c>
      <c r="K89" s="124"/>
      <c r="L89" s="126"/>
      <c r="M89" s="87"/>
      <c r="N89" s="148"/>
      <c r="O89" s="148"/>
    </row>
    <row r="90" spans="1:15" ht="13.5" thickBot="1" x14ac:dyDescent="0.25">
      <c r="A90" s="94">
        <f t="shared" si="2"/>
        <v>88</v>
      </c>
      <c r="B90" s="95" t="s">
        <v>3</v>
      </c>
      <c r="C90" s="595">
        <v>8</v>
      </c>
      <c r="D90" s="112">
        <v>25</v>
      </c>
      <c r="K90" s="124"/>
      <c r="L90" s="126"/>
      <c r="M90" s="87"/>
      <c r="N90" s="148"/>
      <c r="O90" s="148"/>
    </row>
    <row r="91" spans="1:15" x14ac:dyDescent="0.2">
      <c r="A91" s="96">
        <f t="shared" si="2"/>
        <v>89</v>
      </c>
      <c r="B91" s="97" t="s">
        <v>4</v>
      </c>
      <c r="C91" s="596">
        <v>0</v>
      </c>
      <c r="D91" s="113">
        <v>300</v>
      </c>
    </row>
    <row r="92" spans="1:15" x14ac:dyDescent="0.2">
      <c r="A92" s="100">
        <f t="shared" si="2"/>
        <v>90</v>
      </c>
      <c r="B92" s="99" t="s">
        <v>4</v>
      </c>
      <c r="C92" s="595">
        <v>1</v>
      </c>
      <c r="D92" s="114">
        <v>250</v>
      </c>
    </row>
    <row r="93" spans="1:15" x14ac:dyDescent="0.2">
      <c r="A93" s="100">
        <f t="shared" si="2"/>
        <v>91</v>
      </c>
      <c r="B93" s="99" t="s">
        <v>4</v>
      </c>
      <c r="C93" s="595">
        <v>2</v>
      </c>
      <c r="D93" s="114">
        <v>225</v>
      </c>
    </row>
    <row r="94" spans="1:15" x14ac:dyDescent="0.2">
      <c r="A94" s="100">
        <f t="shared" si="2"/>
        <v>92</v>
      </c>
      <c r="B94" s="99" t="s">
        <v>4</v>
      </c>
      <c r="C94" s="595">
        <v>3</v>
      </c>
      <c r="D94" s="114">
        <v>200</v>
      </c>
    </row>
    <row r="95" spans="1:15" x14ac:dyDescent="0.2">
      <c r="A95" s="98">
        <f t="shared" si="2"/>
        <v>93</v>
      </c>
      <c r="B95" s="99" t="s">
        <v>4</v>
      </c>
      <c r="C95" s="595">
        <v>4</v>
      </c>
      <c r="D95" s="114">
        <v>150</v>
      </c>
    </row>
    <row r="96" spans="1:15" x14ac:dyDescent="0.2">
      <c r="A96" s="100">
        <f t="shared" si="2"/>
        <v>94</v>
      </c>
      <c r="B96" s="99" t="s">
        <v>4</v>
      </c>
      <c r="C96" s="595">
        <v>5</v>
      </c>
      <c r="D96" s="114">
        <v>100</v>
      </c>
    </row>
    <row r="97" spans="1:15" x14ac:dyDescent="0.2">
      <c r="A97" s="100">
        <f t="shared" si="2"/>
        <v>95</v>
      </c>
      <c r="B97" s="99" t="s">
        <v>4</v>
      </c>
      <c r="C97" s="595">
        <v>6</v>
      </c>
      <c r="D97" s="114">
        <v>50</v>
      </c>
    </row>
    <row r="98" spans="1:15" ht="13.5" thickBot="1" x14ac:dyDescent="0.25">
      <c r="A98" s="101">
        <f t="shared" si="2"/>
        <v>96</v>
      </c>
      <c r="B98" s="102" t="s">
        <v>4</v>
      </c>
      <c r="C98" s="597">
        <v>7</v>
      </c>
      <c r="D98" s="115">
        <v>20</v>
      </c>
    </row>
    <row r="99" spans="1:15" x14ac:dyDescent="0.2">
      <c r="A99" s="94">
        <f t="shared" si="2"/>
        <v>97</v>
      </c>
      <c r="B99" s="95" t="s">
        <v>5</v>
      </c>
      <c r="C99" s="595">
        <v>3</v>
      </c>
      <c r="D99" s="112">
        <v>60</v>
      </c>
    </row>
    <row r="100" spans="1:15" x14ac:dyDescent="0.2">
      <c r="A100" s="94">
        <f t="shared" si="2"/>
        <v>98</v>
      </c>
      <c r="B100" s="95" t="s">
        <v>5</v>
      </c>
      <c r="C100" s="595">
        <v>4</v>
      </c>
      <c r="D100" s="112">
        <v>70</v>
      </c>
    </row>
    <row r="101" spans="1:15" x14ac:dyDescent="0.2">
      <c r="A101" s="94">
        <f t="shared" si="2"/>
        <v>99</v>
      </c>
      <c r="B101" s="95" t="s">
        <v>5</v>
      </c>
      <c r="C101" s="595">
        <v>5</v>
      </c>
      <c r="D101" s="112">
        <v>80</v>
      </c>
    </row>
    <row r="102" spans="1:15" x14ac:dyDescent="0.2">
      <c r="A102" s="94">
        <f t="shared" si="2"/>
        <v>100</v>
      </c>
      <c r="B102" s="95" t="s">
        <v>5</v>
      </c>
      <c r="C102" s="595">
        <v>6</v>
      </c>
      <c r="D102" s="112">
        <v>90</v>
      </c>
    </row>
    <row r="103" spans="1:15" x14ac:dyDescent="0.2">
      <c r="A103" s="94">
        <f t="shared" si="2"/>
        <v>101</v>
      </c>
      <c r="B103" s="95" t="s">
        <v>5</v>
      </c>
      <c r="C103" s="595">
        <v>7</v>
      </c>
      <c r="D103" s="112">
        <v>100</v>
      </c>
    </row>
    <row r="104" spans="1:15" x14ac:dyDescent="0.2">
      <c r="A104" s="94">
        <f t="shared" si="2"/>
        <v>102</v>
      </c>
      <c r="B104" s="95" t="s">
        <v>5</v>
      </c>
      <c r="C104" s="595">
        <v>8</v>
      </c>
      <c r="D104" s="112">
        <v>75</v>
      </c>
    </row>
    <row r="105" spans="1:15" x14ac:dyDescent="0.2">
      <c r="A105" s="94">
        <f t="shared" si="2"/>
        <v>103</v>
      </c>
      <c r="B105" s="95" t="s">
        <v>5</v>
      </c>
      <c r="C105" s="595">
        <v>9</v>
      </c>
      <c r="D105" s="112">
        <v>60</v>
      </c>
    </row>
    <row r="106" spans="1:15" ht="13.5" thickBot="1" x14ac:dyDescent="0.25">
      <c r="A106" s="94">
        <f t="shared" si="2"/>
        <v>104</v>
      </c>
      <c r="B106" s="95" t="s">
        <v>5</v>
      </c>
      <c r="C106" s="595">
        <v>10</v>
      </c>
      <c r="D106" s="112">
        <v>50</v>
      </c>
    </row>
    <row r="107" spans="1:15" ht="13.5" thickBot="1" x14ac:dyDescent="0.25">
      <c r="A107" s="742">
        <f t="shared" si="2"/>
        <v>105</v>
      </c>
      <c r="B107" s="743" t="s">
        <v>2</v>
      </c>
      <c r="C107" s="744" t="s">
        <v>168</v>
      </c>
      <c r="D107" s="745">
        <v>2500</v>
      </c>
      <c r="K107" s="1211" t="s">
        <v>30</v>
      </c>
      <c r="L107" s="1212"/>
      <c r="M107" s="1212"/>
      <c r="N107" s="1212"/>
      <c r="O107" s="1213"/>
    </row>
    <row r="108" spans="1:15" ht="13.5" thickBot="1" x14ac:dyDescent="0.25">
      <c r="A108" s="746">
        <f t="shared" si="2"/>
        <v>106</v>
      </c>
      <c r="B108" s="747" t="s">
        <v>2</v>
      </c>
      <c r="C108" s="748" t="s">
        <v>9</v>
      </c>
      <c r="D108" s="749">
        <v>2666.6666666666665</v>
      </c>
      <c r="K108" s="127" t="s">
        <v>29</v>
      </c>
      <c r="L108" s="128" t="s">
        <v>168</v>
      </c>
      <c r="M108" s="128" t="s">
        <v>9</v>
      </c>
      <c r="N108" s="149" t="s">
        <v>14</v>
      </c>
      <c r="O108" s="150" t="s">
        <v>15</v>
      </c>
    </row>
    <row r="109" spans="1:15" x14ac:dyDescent="0.2">
      <c r="A109" s="746">
        <f t="shared" si="2"/>
        <v>107</v>
      </c>
      <c r="B109" s="747" t="s">
        <v>2</v>
      </c>
      <c r="C109" s="748" t="s">
        <v>14</v>
      </c>
      <c r="D109" s="749">
        <v>2833.333333333333</v>
      </c>
      <c r="I109" s="129" t="s">
        <v>184</v>
      </c>
      <c r="J109" s="130">
        <v>4000</v>
      </c>
      <c r="K109" s="131">
        <v>1</v>
      </c>
      <c r="L109" s="132">
        <f>maxSkill+maxDifficult</f>
        <v>5000</v>
      </c>
      <c r="M109" s="133">
        <f>L109-((L109-O109)/3)</f>
        <v>3500</v>
      </c>
      <c r="N109" s="151">
        <f>M109-((L109-O109)/3)</f>
        <v>2000</v>
      </c>
      <c r="O109" s="152">
        <f>difficultDelta</f>
        <v>500</v>
      </c>
    </row>
    <row r="110" spans="1:15" ht="13.5" thickBot="1" x14ac:dyDescent="0.25">
      <c r="A110" s="750">
        <f t="shared" si="2"/>
        <v>108</v>
      </c>
      <c r="B110" s="751" t="s">
        <v>2</v>
      </c>
      <c r="C110" s="752" t="s">
        <v>15</v>
      </c>
      <c r="D110" s="753">
        <v>3000</v>
      </c>
      <c r="I110" s="135" t="s">
        <v>185</v>
      </c>
      <c r="J110" s="136">
        <v>1000</v>
      </c>
      <c r="K110" s="137">
        <v>2</v>
      </c>
      <c r="L110" s="138">
        <f>L109-((L$109-L$118)/9)</f>
        <v>4500</v>
      </c>
      <c r="M110" s="132">
        <f t="shared" ref="M110:M118" si="3">L110-((L110-O110)/3)</f>
        <v>3333.333333333333</v>
      </c>
      <c r="N110" s="153">
        <f t="shared" ref="N110:N118" si="4">M110-((L110-O110)/3)</f>
        <v>2166.6666666666661</v>
      </c>
      <c r="O110" s="154">
        <f>L117</f>
        <v>1000</v>
      </c>
    </row>
    <row r="111" spans="1:15" ht="13.5" thickBot="1" x14ac:dyDescent="0.25">
      <c r="A111" s="754">
        <f t="shared" si="2"/>
        <v>109</v>
      </c>
      <c r="B111" s="755" t="s">
        <v>320</v>
      </c>
      <c r="C111" s="756">
        <v>0</v>
      </c>
      <c r="D111" s="757">
        <v>20</v>
      </c>
      <c r="I111" s="139" t="s">
        <v>186</v>
      </c>
      <c r="J111" s="140">
        <v>500</v>
      </c>
      <c r="K111" s="137">
        <v>3</v>
      </c>
      <c r="L111" s="141">
        <f t="shared" ref="L111:L117" si="5">L110-((L$109-L$118)/9)</f>
        <v>4000</v>
      </c>
      <c r="M111" s="138">
        <f t="shared" si="3"/>
        <v>3166.6666666666665</v>
      </c>
      <c r="N111" s="155">
        <f t="shared" si="4"/>
        <v>2333.333333333333</v>
      </c>
      <c r="O111" s="156">
        <f>L116</f>
        <v>1500</v>
      </c>
    </row>
    <row r="112" spans="1:15" x14ac:dyDescent="0.2">
      <c r="A112" s="758">
        <f t="shared" si="2"/>
        <v>110</v>
      </c>
      <c r="B112" s="759" t="s">
        <v>320</v>
      </c>
      <c r="C112" s="760">
        <v>9000</v>
      </c>
      <c r="D112" s="761">
        <v>30</v>
      </c>
      <c r="K112" s="137">
        <v>4</v>
      </c>
      <c r="L112" s="142">
        <f t="shared" si="5"/>
        <v>3500</v>
      </c>
      <c r="M112" s="141">
        <f t="shared" si="3"/>
        <v>3000</v>
      </c>
      <c r="N112" s="157">
        <f t="shared" si="4"/>
        <v>2500</v>
      </c>
      <c r="O112" s="158">
        <f>L115</f>
        <v>2000</v>
      </c>
    </row>
    <row r="113" spans="1:15" x14ac:dyDescent="0.2">
      <c r="A113" s="758">
        <f t="shared" si="2"/>
        <v>111</v>
      </c>
      <c r="B113" s="759" t="s">
        <v>320</v>
      </c>
      <c r="C113" s="760">
        <v>9100</v>
      </c>
      <c r="D113" s="761">
        <v>40</v>
      </c>
      <c r="K113" s="137">
        <v>5</v>
      </c>
      <c r="L113" s="141">
        <f t="shared" si="5"/>
        <v>3000</v>
      </c>
      <c r="M113" s="142">
        <f t="shared" si="3"/>
        <v>2833.3333333333335</v>
      </c>
      <c r="N113" s="159">
        <f t="shared" si="4"/>
        <v>2666.666666666667</v>
      </c>
      <c r="O113" s="160">
        <f>L114</f>
        <v>2500</v>
      </c>
    </row>
    <row r="114" spans="1:15" ht="13.5" thickBot="1" x14ac:dyDescent="0.25">
      <c r="A114" s="758">
        <f t="shared" si="2"/>
        <v>112</v>
      </c>
      <c r="B114" s="759" t="s">
        <v>320</v>
      </c>
      <c r="C114" s="760">
        <v>9200</v>
      </c>
      <c r="D114" s="761">
        <v>50</v>
      </c>
      <c r="K114" s="137">
        <v>6</v>
      </c>
      <c r="L114" s="138">
        <f t="shared" si="5"/>
        <v>2500</v>
      </c>
      <c r="M114" s="141">
        <f t="shared" si="3"/>
        <v>2666.6666666666665</v>
      </c>
      <c r="N114" s="161">
        <f t="shared" si="4"/>
        <v>2833.333333333333</v>
      </c>
      <c r="O114" s="162">
        <f>L113</f>
        <v>3000</v>
      </c>
    </row>
    <row r="115" spans="1:15" x14ac:dyDescent="0.2">
      <c r="A115" s="758">
        <f t="shared" si="2"/>
        <v>113</v>
      </c>
      <c r="B115" s="759" t="s">
        <v>320</v>
      </c>
      <c r="C115" s="760">
        <v>9800</v>
      </c>
      <c r="D115" s="761">
        <v>60</v>
      </c>
      <c r="I115" s="1214" t="str">
        <f>"Your Crew is Level " &amp; skillLevel</f>
        <v>Your Crew is Level 6</v>
      </c>
      <c r="J115" s="1215"/>
      <c r="K115" s="137">
        <v>7</v>
      </c>
      <c r="L115" s="132">
        <f t="shared" si="5"/>
        <v>2000</v>
      </c>
      <c r="M115" s="138">
        <f t="shared" si="3"/>
        <v>2500</v>
      </c>
      <c r="N115" s="159">
        <f t="shared" si="4"/>
        <v>3000</v>
      </c>
      <c r="O115" s="163">
        <f>L112</f>
        <v>3500</v>
      </c>
    </row>
    <row r="116" spans="1:15" ht="13.5" thickBot="1" x14ac:dyDescent="0.25">
      <c r="A116" s="758">
        <f t="shared" si="2"/>
        <v>114</v>
      </c>
      <c r="B116" s="759" t="s">
        <v>320</v>
      </c>
      <c r="C116" s="760">
        <v>10000</v>
      </c>
      <c r="D116" s="761">
        <v>70</v>
      </c>
      <c r="I116" s="1216" t="s">
        <v>197</v>
      </c>
      <c r="J116" s="1217"/>
      <c r="K116" s="137">
        <v>8</v>
      </c>
      <c r="L116" s="133">
        <f t="shared" si="5"/>
        <v>1500</v>
      </c>
      <c r="M116" s="132">
        <f t="shared" si="3"/>
        <v>2333.3333333333335</v>
      </c>
      <c r="N116" s="157">
        <f t="shared" si="4"/>
        <v>3166.666666666667</v>
      </c>
      <c r="O116" s="162">
        <f>L111</f>
        <v>4000</v>
      </c>
    </row>
    <row r="117" spans="1:15" x14ac:dyDescent="0.2">
      <c r="A117" s="758">
        <f t="shared" si="2"/>
        <v>115</v>
      </c>
      <c r="B117" s="759" t="s">
        <v>320</v>
      </c>
      <c r="C117" s="760">
        <v>10500</v>
      </c>
      <c r="D117" s="761">
        <v>80</v>
      </c>
      <c r="K117" s="137">
        <v>9</v>
      </c>
      <c r="L117" s="134">
        <f t="shared" si="5"/>
        <v>1000</v>
      </c>
      <c r="M117" s="133">
        <f t="shared" si="3"/>
        <v>2166.666666666667</v>
      </c>
      <c r="N117" s="155">
        <f t="shared" si="4"/>
        <v>3333.3333333333339</v>
      </c>
      <c r="O117" s="160">
        <f>L110</f>
        <v>4500</v>
      </c>
    </row>
    <row r="118" spans="1:15" ht="13.5" thickBot="1" x14ac:dyDescent="0.25">
      <c r="A118" s="758">
        <f t="shared" si="2"/>
        <v>116</v>
      </c>
      <c r="B118" s="759" t="s">
        <v>320</v>
      </c>
      <c r="C118" s="760">
        <v>10600</v>
      </c>
      <c r="D118" s="761">
        <v>90</v>
      </c>
      <c r="K118" s="143">
        <v>10</v>
      </c>
      <c r="L118" s="144">
        <f>difficultDelta</f>
        <v>500</v>
      </c>
      <c r="M118" s="145">
        <f t="shared" si="3"/>
        <v>2000</v>
      </c>
      <c r="N118" s="164">
        <f t="shared" si="4"/>
        <v>3500</v>
      </c>
      <c r="O118" s="165">
        <f>L109</f>
        <v>5000</v>
      </c>
    </row>
    <row r="119" spans="1:15" x14ac:dyDescent="0.2">
      <c r="A119" s="758">
        <f t="shared" si="2"/>
        <v>117</v>
      </c>
      <c r="B119" s="759" t="s">
        <v>320</v>
      </c>
      <c r="C119" s="760">
        <v>10800</v>
      </c>
      <c r="D119" s="761">
        <v>100</v>
      </c>
      <c r="L119" s="1218" t="s">
        <v>173</v>
      </c>
      <c r="M119" s="1218" t="s">
        <v>33</v>
      </c>
      <c r="N119" s="1220" t="s">
        <v>34</v>
      </c>
      <c r="O119" s="1220" t="s">
        <v>35</v>
      </c>
    </row>
    <row r="120" spans="1:15" ht="12.75" customHeight="1" x14ac:dyDescent="0.2">
      <c r="A120" s="758">
        <f t="shared" si="2"/>
        <v>118</v>
      </c>
      <c r="B120" s="759" t="s">
        <v>320</v>
      </c>
      <c r="C120" s="760">
        <v>11000</v>
      </c>
      <c r="D120" s="761">
        <v>110</v>
      </c>
      <c r="L120" s="1219"/>
      <c r="M120" s="1219"/>
      <c r="N120" s="1221"/>
      <c r="O120" s="1221"/>
    </row>
    <row r="121" spans="1:15" x14ac:dyDescent="0.2">
      <c r="A121" s="758">
        <f t="shared" si="2"/>
        <v>119</v>
      </c>
      <c r="B121" s="759" t="s">
        <v>320</v>
      </c>
      <c r="C121" s="760">
        <v>11800</v>
      </c>
      <c r="D121" s="761">
        <v>120</v>
      </c>
      <c r="L121" s="1219"/>
      <c r="M121" s="1219"/>
      <c r="N121" s="1221"/>
      <c r="O121" s="1221"/>
    </row>
    <row r="122" spans="1:15" ht="13.5" thickBot="1" x14ac:dyDescent="0.25">
      <c r="A122" s="762">
        <f t="shared" si="2"/>
        <v>120</v>
      </c>
      <c r="B122" s="763" t="s">
        <v>320</v>
      </c>
      <c r="C122" s="764">
        <v>12441</v>
      </c>
      <c r="D122" s="765">
        <v>130</v>
      </c>
      <c r="L122" s="1219"/>
      <c r="M122" s="1219"/>
      <c r="N122" s="1221"/>
      <c r="O122" s="1221"/>
    </row>
    <row r="123" spans="1:15" x14ac:dyDescent="0.2">
      <c r="A123" s="766">
        <f t="shared" si="2"/>
        <v>121</v>
      </c>
      <c r="B123" s="767" t="s">
        <v>326</v>
      </c>
      <c r="C123" s="768">
        <v>0</v>
      </c>
      <c r="D123" s="769">
        <v>40</v>
      </c>
      <c r="L123" s="1219"/>
      <c r="M123" s="1219"/>
      <c r="N123" s="1221"/>
      <c r="O123" s="1221"/>
    </row>
    <row r="124" spans="1:15" x14ac:dyDescent="0.2">
      <c r="A124" s="770">
        <f t="shared" si="2"/>
        <v>122</v>
      </c>
      <c r="B124" s="771" t="s">
        <v>326</v>
      </c>
      <c r="C124" s="772">
        <v>1500</v>
      </c>
      <c r="D124" s="773">
        <v>50</v>
      </c>
      <c r="L124" s="1219"/>
      <c r="M124" s="1219"/>
      <c r="N124" s="1221"/>
      <c r="O124" s="1221"/>
    </row>
    <row r="125" spans="1:15" x14ac:dyDescent="0.2">
      <c r="A125" s="770">
        <f t="shared" si="2"/>
        <v>123</v>
      </c>
      <c r="B125" s="771" t="s">
        <v>326</v>
      </c>
      <c r="C125" s="772">
        <v>2000</v>
      </c>
      <c r="D125" s="773">
        <v>60</v>
      </c>
    </row>
    <row r="126" spans="1:15" x14ac:dyDescent="0.2">
      <c r="A126" s="770">
        <f t="shared" si="2"/>
        <v>124</v>
      </c>
      <c r="B126" s="771" t="s">
        <v>326</v>
      </c>
      <c r="C126" s="772">
        <v>2500</v>
      </c>
      <c r="D126" s="773">
        <v>70</v>
      </c>
    </row>
    <row r="127" spans="1:15" x14ac:dyDescent="0.2">
      <c r="A127" s="770">
        <f t="shared" si="2"/>
        <v>125</v>
      </c>
      <c r="B127" s="771" t="s">
        <v>326</v>
      </c>
      <c r="C127" s="772">
        <v>3000</v>
      </c>
      <c r="D127" s="773">
        <v>80</v>
      </c>
    </row>
    <row r="128" spans="1:15" x14ac:dyDescent="0.2">
      <c r="A128" s="770">
        <f t="shared" si="2"/>
        <v>126</v>
      </c>
      <c r="B128" s="771" t="s">
        <v>326</v>
      </c>
      <c r="C128" s="772">
        <v>3500</v>
      </c>
      <c r="D128" s="773">
        <v>90</v>
      </c>
    </row>
    <row r="129" spans="1:4" x14ac:dyDescent="0.2">
      <c r="A129" s="770">
        <f t="shared" si="2"/>
        <v>127</v>
      </c>
      <c r="B129" s="771" t="s">
        <v>326</v>
      </c>
      <c r="C129" s="772">
        <v>4000</v>
      </c>
      <c r="D129" s="773">
        <v>100</v>
      </c>
    </row>
    <row r="130" spans="1:4" x14ac:dyDescent="0.2">
      <c r="A130" s="770">
        <f t="shared" si="2"/>
        <v>128</v>
      </c>
      <c r="B130" s="771" t="s">
        <v>326</v>
      </c>
      <c r="C130" s="772">
        <v>4500</v>
      </c>
      <c r="D130" s="773">
        <v>90</v>
      </c>
    </row>
    <row r="131" spans="1:4" x14ac:dyDescent="0.2">
      <c r="A131" s="770">
        <f t="shared" si="2"/>
        <v>129</v>
      </c>
      <c r="B131" s="771" t="s">
        <v>326</v>
      </c>
      <c r="C131" s="772">
        <v>5000</v>
      </c>
      <c r="D131" s="773">
        <v>80</v>
      </c>
    </row>
    <row r="132" spans="1:4" x14ac:dyDescent="0.2">
      <c r="A132" s="770">
        <f t="shared" si="2"/>
        <v>130</v>
      </c>
      <c r="B132" s="771" t="s">
        <v>326</v>
      </c>
      <c r="C132" s="772">
        <v>5500</v>
      </c>
      <c r="D132" s="773">
        <v>70</v>
      </c>
    </row>
    <row r="133" spans="1:4" x14ac:dyDescent="0.2">
      <c r="A133" s="770">
        <f t="shared" si="2"/>
        <v>131</v>
      </c>
      <c r="B133" s="771" t="s">
        <v>326</v>
      </c>
      <c r="C133" s="772">
        <v>6000</v>
      </c>
      <c r="D133" s="773">
        <v>60</v>
      </c>
    </row>
    <row r="134" spans="1:4" ht="13.5" thickBot="1" x14ac:dyDescent="0.25">
      <c r="A134" s="774">
        <f t="shared" si="2"/>
        <v>132</v>
      </c>
      <c r="B134" s="775" t="s">
        <v>326</v>
      </c>
      <c r="C134" s="776">
        <v>6500</v>
      </c>
      <c r="D134" s="777">
        <v>50</v>
      </c>
    </row>
    <row r="135" spans="1:4" x14ac:dyDescent="0.2">
      <c r="A135" s="778">
        <f t="shared" si="2"/>
        <v>133</v>
      </c>
      <c r="B135" s="779" t="s">
        <v>327</v>
      </c>
      <c r="C135" s="780">
        <v>300</v>
      </c>
      <c r="D135" s="781">
        <v>100</v>
      </c>
    </row>
    <row r="136" spans="1:4" x14ac:dyDescent="0.2">
      <c r="A136" s="94">
        <f t="shared" si="2"/>
        <v>134</v>
      </c>
      <c r="B136" s="782" t="s">
        <v>327</v>
      </c>
      <c r="C136" s="783">
        <v>600</v>
      </c>
      <c r="D136" s="784">
        <v>300</v>
      </c>
    </row>
    <row r="137" spans="1:4" x14ac:dyDescent="0.2">
      <c r="A137" s="94">
        <f t="shared" si="2"/>
        <v>135</v>
      </c>
      <c r="B137" s="782" t="s">
        <v>327</v>
      </c>
      <c r="C137" s="783">
        <v>900</v>
      </c>
      <c r="D137" s="784">
        <v>200</v>
      </c>
    </row>
    <row r="138" spans="1:4" ht="13.5" thickBot="1" x14ac:dyDescent="0.25">
      <c r="A138" s="785">
        <f t="shared" si="2"/>
        <v>136</v>
      </c>
      <c r="B138" s="786" t="s">
        <v>327</v>
      </c>
      <c r="C138" s="787">
        <v>1200</v>
      </c>
      <c r="D138" s="788">
        <v>100</v>
      </c>
    </row>
    <row r="139" spans="1:4" x14ac:dyDescent="0.2">
      <c r="A139" s="789">
        <f t="shared" si="2"/>
        <v>137</v>
      </c>
      <c r="B139" s="790" t="s">
        <v>373</v>
      </c>
      <c r="C139" s="791" t="s">
        <v>24</v>
      </c>
      <c r="D139" s="792">
        <v>0</v>
      </c>
    </row>
    <row r="140" spans="1:4" ht="13.5" thickBot="1" x14ac:dyDescent="0.25">
      <c r="A140" s="793">
        <f t="shared" si="2"/>
        <v>138</v>
      </c>
      <c r="B140" s="794" t="s">
        <v>373</v>
      </c>
      <c r="C140" s="795" t="s">
        <v>8</v>
      </c>
      <c r="D140" s="796">
        <v>500</v>
      </c>
    </row>
    <row r="141" spans="1:4" x14ac:dyDescent="0.2">
      <c r="A141" s="789">
        <f t="shared" si="2"/>
        <v>139</v>
      </c>
      <c r="B141" s="790" t="s">
        <v>350</v>
      </c>
      <c r="C141" s="791" t="s">
        <v>24</v>
      </c>
      <c r="D141" s="792">
        <v>0</v>
      </c>
    </row>
    <row r="142" spans="1:4" ht="13.5" thickBot="1" x14ac:dyDescent="0.25">
      <c r="A142" s="793">
        <f t="shared" si="2"/>
        <v>140</v>
      </c>
      <c r="B142" s="794" t="s">
        <v>350</v>
      </c>
      <c r="C142" s="795" t="s">
        <v>8</v>
      </c>
      <c r="D142" s="796">
        <v>500</v>
      </c>
    </row>
    <row r="143" spans="1:4" ht="13.5" thickBot="1" x14ac:dyDescent="0.25">
      <c r="A143" s="105">
        <f t="shared" si="2"/>
        <v>141</v>
      </c>
      <c r="B143" s="103" t="s">
        <v>16</v>
      </c>
      <c r="C143" s="591" t="s">
        <v>432</v>
      </c>
      <c r="D143" s="116">
        <v>100</v>
      </c>
    </row>
    <row r="144" spans="1:4" x14ac:dyDescent="0.2">
      <c r="A144" s="1208" t="s">
        <v>198</v>
      </c>
      <c r="B144" s="743" t="s">
        <v>2</v>
      </c>
      <c r="C144" s="744" t="s">
        <v>168</v>
      </c>
      <c r="D144" s="797" t="s">
        <v>173</v>
      </c>
    </row>
    <row r="145" spans="1:4" ht="15" customHeight="1" x14ac:dyDescent="0.2">
      <c r="A145" s="1209"/>
      <c r="B145" s="747" t="s">
        <v>2</v>
      </c>
      <c r="C145" s="748" t="s">
        <v>9</v>
      </c>
      <c r="D145" s="798" t="s">
        <v>33</v>
      </c>
    </row>
    <row r="146" spans="1:4" x14ac:dyDescent="0.2">
      <c r="A146" s="1209"/>
      <c r="B146" s="747" t="s">
        <v>2</v>
      </c>
      <c r="C146" s="748" t="s">
        <v>14</v>
      </c>
      <c r="D146" s="798" t="s">
        <v>34</v>
      </c>
    </row>
    <row r="147" spans="1:4" ht="13.5" thickBot="1" x14ac:dyDescent="0.25">
      <c r="A147" s="1209"/>
      <c r="B147" s="751" t="s">
        <v>2</v>
      </c>
      <c r="C147" s="752" t="s">
        <v>15</v>
      </c>
      <c r="D147" s="799" t="s">
        <v>35</v>
      </c>
    </row>
    <row r="148" spans="1:4" x14ac:dyDescent="0.2">
      <c r="A148" s="1209"/>
      <c r="B148" s="743" t="s">
        <v>429</v>
      </c>
      <c r="C148" s="800" t="s">
        <v>189</v>
      </c>
      <c r="D148" s="801" t="s">
        <v>192</v>
      </c>
    </row>
    <row r="149" spans="1:4" x14ac:dyDescent="0.2">
      <c r="A149" s="1209"/>
      <c r="B149" s="747" t="s">
        <v>429</v>
      </c>
      <c r="C149" s="802" t="s">
        <v>14</v>
      </c>
      <c r="D149" s="803" t="s">
        <v>171</v>
      </c>
    </row>
    <row r="150" spans="1:4" x14ac:dyDescent="0.2">
      <c r="A150" s="1209"/>
      <c r="B150" s="747" t="s">
        <v>429</v>
      </c>
      <c r="C150" s="802" t="s">
        <v>188</v>
      </c>
      <c r="D150" s="803" t="s">
        <v>191</v>
      </c>
    </row>
    <row r="151" spans="1:4" ht="13.5" thickBot="1" x14ac:dyDescent="0.25">
      <c r="A151" s="1210"/>
      <c r="B151" s="751" t="s">
        <v>429</v>
      </c>
      <c r="C151" s="804" t="s">
        <v>190</v>
      </c>
      <c r="D151" s="805" t="s">
        <v>193</v>
      </c>
    </row>
  </sheetData>
  <sheetProtection sheet="1" objects="1" scenarios="1" selectLockedCells="1"/>
  <mergeCells count="10">
    <mergeCell ref="E2:K2"/>
    <mergeCell ref="A144:A151"/>
    <mergeCell ref="K107:O107"/>
    <mergeCell ref="I115:J115"/>
    <mergeCell ref="I116:J116"/>
    <mergeCell ref="L119:L124"/>
    <mergeCell ref="M119:M124"/>
    <mergeCell ref="N119:N124"/>
    <mergeCell ref="O119:O124"/>
    <mergeCell ref="L2:L56"/>
  </mergeCells>
  <phoneticPr fontId="0" type="noConversion"/>
  <printOptions horizontalCentered="1"/>
  <pageMargins left="0.25" right="0.25" top="0.49" bottom="0.36" header="0.33" footer="0.17"/>
  <pageSetup scale="38" orientation="portrait" horizontalDpi="4294967295" verticalDpi="4294967295" r:id="rId1"/>
  <headerFooter alignWithMargins="0">
    <oddHeader>&amp;C&amp;"Arial,Bold"&amp;12Philmont Itinerary Selection&amp;"Arial,Regular"&amp;10
&amp;A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6" r:id="rId4" name="Button 18">
              <controlPr defaultSize="0" print="0" autoFill="0" autoLine="0" autoPict="0" macro="[0]!setTotal_Results">
                <anchor moveWithCells="1" sizeWithCells="1">
                  <from>
                    <xdr:col>4</xdr:col>
                    <xdr:colOff>533400</xdr:colOff>
                    <xdr:row>18</xdr:row>
                    <xdr:rowOff>142875</xdr:rowOff>
                  </from>
                  <to>
                    <xdr:col>5</xdr:col>
                    <xdr:colOff>514350</xdr:colOff>
                    <xdr:row>20</xdr:row>
                    <xdr:rowOff>19050</xdr:rowOff>
                  </to>
                </anchor>
              </controlPr>
            </control>
          </mc:Choice>
        </mc:AlternateContent>
        <mc:AlternateContent xmlns:mc="http://schemas.openxmlformats.org/markup-compatibility/2006">
          <mc:Choice Requires="x14">
            <control shapeId="2067" r:id="rId5" name="Button 19">
              <controlPr defaultSize="0" print="0" autoFill="0" autoLine="0" autoPict="0" macro="[0]!setMean_Results">
                <anchor moveWithCells="1" sizeWithCells="1">
                  <from>
                    <xdr:col>5</xdr:col>
                    <xdr:colOff>523875</xdr:colOff>
                    <xdr:row>18</xdr:row>
                    <xdr:rowOff>142875</xdr:rowOff>
                  </from>
                  <to>
                    <xdr:col>6</xdr:col>
                    <xdr:colOff>400050</xdr:colOff>
                    <xdr:row>20</xdr:row>
                    <xdr:rowOff>19050</xdr:rowOff>
                  </to>
                </anchor>
              </controlPr>
            </control>
          </mc:Choice>
        </mc:AlternateContent>
        <mc:AlternateContent xmlns:mc="http://schemas.openxmlformats.org/markup-compatibility/2006">
          <mc:Choice Requires="x14">
            <control shapeId="2068" r:id="rId6" name="Button 20">
              <controlPr defaultSize="0" print="0" autoFill="0" autoLine="0" autoPict="0" macro="[0]!setMedian_Results">
                <anchor moveWithCells="1" sizeWithCells="1">
                  <from>
                    <xdr:col>4</xdr:col>
                    <xdr:colOff>542925</xdr:colOff>
                    <xdr:row>20</xdr:row>
                    <xdr:rowOff>28575</xdr:rowOff>
                  </from>
                  <to>
                    <xdr:col>5</xdr:col>
                    <xdr:colOff>514350</xdr:colOff>
                    <xdr:row>21</xdr:row>
                    <xdr:rowOff>57150</xdr:rowOff>
                  </to>
                </anchor>
              </controlPr>
            </control>
          </mc:Choice>
        </mc:AlternateContent>
        <mc:AlternateContent xmlns:mc="http://schemas.openxmlformats.org/markup-compatibility/2006">
          <mc:Choice Requires="x14">
            <control shapeId="2069" r:id="rId7" name="Button 21">
              <controlPr defaultSize="0" print="0" autoFill="0" autoLine="0" autoPict="0" macro="[0]!setMode_Results">
                <anchor moveWithCells="1" sizeWithCells="1">
                  <from>
                    <xdr:col>5</xdr:col>
                    <xdr:colOff>523875</xdr:colOff>
                    <xdr:row>20</xdr:row>
                    <xdr:rowOff>28575</xdr:rowOff>
                  </from>
                  <to>
                    <xdr:col>6</xdr:col>
                    <xdr:colOff>400050</xdr:colOff>
                    <xdr:row>21</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theme="6" tint="-0.499984740745262"/>
    <pageSetUpPr fitToPage="1"/>
  </sheetPr>
  <dimension ref="A1:B37"/>
  <sheetViews>
    <sheetView showGridLines="0" showRowColHeaders="0" topLeftCell="A9" zoomScale="81" zoomScaleNormal="81" workbookViewId="0">
      <selection activeCell="B35" sqref="B34:B35"/>
    </sheetView>
  </sheetViews>
  <sheetFormatPr defaultColWidth="9.140625" defaultRowHeight="12.75" x14ac:dyDescent="0.2"/>
  <cols>
    <col min="1" max="1" width="23" style="29" customWidth="1"/>
    <col min="2" max="2" width="173.7109375" style="29" customWidth="1"/>
    <col min="3" max="16384" width="9.140625" style="29"/>
  </cols>
  <sheetData>
    <row r="1" spans="1:2" ht="17.25" customHeight="1" x14ac:dyDescent="0.2">
      <c r="A1" s="36" t="s">
        <v>214</v>
      </c>
    </row>
    <row r="2" spans="1:2" ht="36" customHeight="1" x14ac:dyDescent="0.2">
      <c r="A2" s="1128" t="s">
        <v>366</v>
      </c>
      <c r="B2" s="1128"/>
    </row>
    <row r="3" spans="1:2" ht="36" customHeight="1" x14ac:dyDescent="0.2">
      <c r="A3" s="1128" t="s">
        <v>365</v>
      </c>
      <c r="B3" s="1128"/>
    </row>
    <row r="4" spans="1:2" ht="5.25" customHeight="1" thickBot="1" x14ac:dyDescent="0.25"/>
    <row r="5" spans="1:2" ht="17.25" customHeight="1" x14ac:dyDescent="0.2">
      <c r="A5" s="719" t="s">
        <v>215</v>
      </c>
      <c r="B5" s="630"/>
    </row>
    <row r="6" spans="1:2" ht="17.25" customHeight="1" x14ac:dyDescent="0.2">
      <c r="A6" s="635" t="s">
        <v>216</v>
      </c>
      <c r="B6" s="636"/>
    </row>
    <row r="7" spans="1:2" ht="17.25" customHeight="1" x14ac:dyDescent="0.2">
      <c r="A7" s="631" t="s">
        <v>217</v>
      </c>
      <c r="B7" s="637" t="s">
        <v>227</v>
      </c>
    </row>
    <row r="8" spans="1:2" ht="17.25" customHeight="1" x14ac:dyDescent="0.2">
      <c r="A8" s="631" t="s">
        <v>218</v>
      </c>
      <c r="B8" s="637" t="s">
        <v>228</v>
      </c>
    </row>
    <row r="9" spans="1:2" ht="17.25" customHeight="1" x14ac:dyDescent="0.2">
      <c r="A9" s="631" t="s">
        <v>229</v>
      </c>
      <c r="B9" s="637" t="s">
        <v>230</v>
      </c>
    </row>
    <row r="10" spans="1:2" ht="17.25" customHeight="1" x14ac:dyDescent="0.2">
      <c r="A10" s="631" t="s">
        <v>219</v>
      </c>
      <c r="B10" s="637" t="s">
        <v>231</v>
      </c>
    </row>
    <row r="11" spans="1:2" ht="17.25" customHeight="1" x14ac:dyDescent="0.2">
      <c r="A11" s="631" t="s">
        <v>323</v>
      </c>
      <c r="B11" s="637" t="s">
        <v>324</v>
      </c>
    </row>
    <row r="12" spans="1:2" ht="17.25" customHeight="1" x14ac:dyDescent="0.2">
      <c r="A12" s="631" t="s">
        <v>335</v>
      </c>
      <c r="B12" s="637" t="s">
        <v>232</v>
      </c>
    </row>
    <row r="13" spans="1:2" ht="17.25" customHeight="1" x14ac:dyDescent="0.2">
      <c r="A13" s="631" t="s">
        <v>220</v>
      </c>
      <c r="B13" s="637" t="s">
        <v>233</v>
      </c>
    </row>
    <row r="14" spans="1:2" ht="17.25" customHeight="1" x14ac:dyDescent="0.2">
      <c r="A14" s="631" t="s">
        <v>322</v>
      </c>
      <c r="B14" s="637" t="s">
        <v>388</v>
      </c>
    </row>
    <row r="15" spans="1:2" ht="17.25" customHeight="1" x14ac:dyDescent="0.2">
      <c r="A15" s="631" t="s">
        <v>221</v>
      </c>
      <c r="B15" s="637" t="s">
        <v>234</v>
      </c>
    </row>
    <row r="16" spans="1:2" ht="17.25" customHeight="1" x14ac:dyDescent="0.2">
      <c r="A16" s="631" t="s">
        <v>241</v>
      </c>
      <c r="B16" s="637" t="s">
        <v>235</v>
      </c>
    </row>
    <row r="17" spans="1:2" ht="17.25" customHeight="1" x14ac:dyDescent="0.2">
      <c r="A17" s="638" t="s">
        <v>236</v>
      </c>
      <c r="B17" s="639"/>
    </row>
    <row r="18" spans="1:2" ht="17.25" customHeight="1" x14ac:dyDescent="0.2">
      <c r="A18" s="631" t="s">
        <v>447</v>
      </c>
      <c r="B18" s="637" t="s">
        <v>476</v>
      </c>
    </row>
    <row r="19" spans="1:2" ht="17.25" customHeight="1" x14ac:dyDescent="0.2">
      <c r="A19" s="631" t="s">
        <v>448</v>
      </c>
      <c r="B19" s="637" t="s">
        <v>477</v>
      </c>
    </row>
    <row r="20" spans="1:2" ht="17.25" customHeight="1" x14ac:dyDescent="0.2">
      <c r="A20" s="631" t="s">
        <v>225</v>
      </c>
      <c r="B20" s="637" t="s">
        <v>478</v>
      </c>
    </row>
    <row r="21" spans="1:2" ht="17.25" customHeight="1" x14ac:dyDescent="0.2">
      <c r="A21" s="631" t="s">
        <v>223</v>
      </c>
      <c r="B21" s="637" t="s">
        <v>479</v>
      </c>
    </row>
    <row r="22" spans="1:2" ht="17.25" customHeight="1" x14ac:dyDescent="0.2">
      <c r="A22" s="631" t="s">
        <v>222</v>
      </c>
      <c r="B22" s="637" t="s">
        <v>475</v>
      </c>
    </row>
    <row r="23" spans="1:2" ht="17.25" customHeight="1" x14ac:dyDescent="0.2">
      <c r="A23" s="631" t="s">
        <v>449</v>
      </c>
      <c r="B23" s="637" t="s">
        <v>480</v>
      </c>
    </row>
    <row r="24" spans="1:2" ht="17.25" customHeight="1" x14ac:dyDescent="0.2">
      <c r="A24" s="631" t="s">
        <v>226</v>
      </c>
      <c r="B24" s="637" t="s">
        <v>481</v>
      </c>
    </row>
    <row r="25" spans="1:2" ht="17.25" customHeight="1" thickBot="1" x14ac:dyDescent="0.25">
      <c r="A25" s="633" t="s">
        <v>224</v>
      </c>
      <c r="B25" s="640" t="s">
        <v>482</v>
      </c>
    </row>
    <row r="26" spans="1:2" ht="4.5" customHeight="1" thickBot="1" x14ac:dyDescent="0.25"/>
    <row r="27" spans="1:2" x14ac:dyDescent="0.2">
      <c r="A27" s="719" t="s">
        <v>248</v>
      </c>
      <c r="B27" s="630"/>
    </row>
    <row r="28" spans="1:2" ht="19.5" customHeight="1" x14ac:dyDescent="0.2">
      <c r="A28" s="631" t="s">
        <v>229</v>
      </c>
      <c r="B28" s="632" t="s">
        <v>237</v>
      </c>
    </row>
    <row r="29" spans="1:2" ht="35.25" customHeight="1" x14ac:dyDescent="0.2">
      <c r="A29" s="631" t="s">
        <v>219</v>
      </c>
      <c r="B29" s="632" t="s">
        <v>483</v>
      </c>
    </row>
    <row r="30" spans="1:2" ht="20.25" customHeight="1" x14ac:dyDescent="0.2">
      <c r="A30" s="631" t="s">
        <v>220</v>
      </c>
      <c r="B30" s="632" t="s">
        <v>238</v>
      </c>
    </row>
    <row r="31" spans="1:2" ht="44.25" customHeight="1" x14ac:dyDescent="0.2">
      <c r="A31" s="631" t="s">
        <v>221</v>
      </c>
      <c r="B31" s="632" t="s">
        <v>484</v>
      </c>
    </row>
    <row r="32" spans="1:2" ht="34.5" customHeight="1" x14ac:dyDescent="0.2">
      <c r="A32" s="631" t="s">
        <v>222</v>
      </c>
      <c r="B32" s="632" t="s">
        <v>485</v>
      </c>
    </row>
    <row r="33" spans="1:2" ht="21" customHeight="1" x14ac:dyDescent="0.2">
      <c r="A33" s="631" t="s">
        <v>292</v>
      </c>
      <c r="B33" s="632" t="s">
        <v>487</v>
      </c>
    </row>
    <row r="34" spans="1:2" ht="34.5" customHeight="1" x14ac:dyDescent="0.2">
      <c r="A34" s="631" t="s">
        <v>223</v>
      </c>
      <c r="B34" s="632" t="s">
        <v>239</v>
      </c>
    </row>
    <row r="35" spans="1:2" ht="34.5" customHeight="1" x14ac:dyDescent="0.2">
      <c r="A35" s="631" t="s">
        <v>224</v>
      </c>
      <c r="B35" s="632" t="s">
        <v>488</v>
      </c>
    </row>
    <row r="36" spans="1:2" ht="21" customHeight="1" x14ac:dyDescent="0.2">
      <c r="A36" s="631" t="s">
        <v>225</v>
      </c>
      <c r="B36" s="632" t="s">
        <v>489</v>
      </c>
    </row>
    <row r="37" spans="1:2" ht="21" customHeight="1" thickBot="1" x14ac:dyDescent="0.25">
      <c r="A37" s="633" t="s">
        <v>226</v>
      </c>
      <c r="B37" s="634" t="s">
        <v>240</v>
      </c>
    </row>
  </sheetData>
  <sheetProtection sheet="1" objects="1" scenarios="1" selectLockedCells="1" selectUnlockedCells="1"/>
  <mergeCells count="2">
    <mergeCell ref="A2:B2"/>
    <mergeCell ref="A3:B3"/>
  </mergeCells>
  <printOptions horizontalCentered="1"/>
  <pageMargins left="0.25" right="0.25" top="0.72" bottom="0.52" header="0.36" footer="0.3"/>
  <pageSetup scale="69" orientation="landscape" horizontalDpi="4294967295" verticalDpi="4294967295" r:id="rId1"/>
  <headerFooter>
    <oddHeader>&amp;C&amp;"Arial,Bold"&amp;12Philmont Itinerary Selection
Detailed Information</oddHeader>
    <oddFooter>&amp;L&amp;8&amp;F!&amp;A&amp;R&amp;8&amp;D &amp;T</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7A29C-C073-4F8F-875D-16AD1A2E372C}">
  <sheetPr codeName="Sheet17">
    <tabColor rgb="FFFF0000"/>
    <pageSetUpPr fitToPage="1"/>
  </sheetPr>
  <dimension ref="A1:DM30"/>
  <sheetViews>
    <sheetView zoomScale="87" zoomScaleNormal="87" workbookViewId="0">
      <pane xSplit="1" ySplit="3" topLeftCell="AD4" activePane="bottomRight" state="frozenSplit"/>
      <selection activeCell="AI5" sqref="AI5:AI27"/>
      <selection pane="topRight" activeCell="AI5" sqref="AI5:AI27"/>
      <selection pane="bottomLeft" activeCell="AI5" sqref="AI5:AI27"/>
      <selection pane="bottomRight" activeCell="AF4" sqref="AF4"/>
    </sheetView>
  </sheetViews>
  <sheetFormatPr defaultRowHeight="12.75" x14ac:dyDescent="0.2"/>
  <cols>
    <col min="1" max="1" width="11.28515625" style="2" customWidth="1"/>
    <col min="2" max="2" width="11.7109375" style="2" customWidth="1"/>
    <col min="3" max="4" width="11.7109375" style="1" customWidth="1"/>
    <col min="5" max="7" width="18" customWidth="1"/>
    <col min="8" max="14" width="16.7109375" customWidth="1"/>
    <col min="15" max="24" width="10.7109375" customWidth="1"/>
    <col min="25" max="26" width="13" customWidth="1"/>
    <col min="27" max="27" width="7.7109375" customWidth="1"/>
    <col min="28" max="28" width="6.42578125" customWidth="1"/>
    <col min="29" max="29" width="12.28515625" customWidth="1"/>
    <col min="30" max="30" width="10.7109375" style="1" customWidth="1"/>
    <col min="31" max="33" width="11.7109375" style="1" customWidth="1"/>
    <col min="34" max="34" width="17.140625" style="1" customWidth="1"/>
    <col min="35" max="36" width="11.7109375" style="1" customWidth="1"/>
    <col min="37" max="45" width="9.5703125" customWidth="1"/>
    <col min="46" max="46" width="8.28515625" customWidth="1"/>
    <col min="47" max="56" width="8.28515625" style="1" customWidth="1"/>
    <col min="57" max="107" width="8.28515625" customWidth="1"/>
    <col min="108" max="108" width="8.28515625" style="1" customWidth="1"/>
    <col min="109" max="112" width="8.28515625" customWidth="1"/>
    <col min="113" max="113" width="8.28515625" style="1" customWidth="1"/>
    <col min="114" max="114" width="8.28515625" customWidth="1"/>
    <col min="115" max="116" width="9.85546875" customWidth="1"/>
  </cols>
  <sheetData>
    <row r="1" spans="1:117" ht="31.5" customHeight="1" thickBot="1" x14ac:dyDescent="0.25">
      <c r="A1" s="1237" t="s">
        <v>473</v>
      </c>
      <c r="B1" s="701">
        <v>1</v>
      </c>
      <c r="C1" s="702">
        <f t="shared" ref="C1:Q1" si="0">B1+1</f>
        <v>2</v>
      </c>
      <c r="D1" s="702">
        <f t="shared" si="0"/>
        <v>3</v>
      </c>
      <c r="E1" s="702">
        <f t="shared" si="0"/>
        <v>4</v>
      </c>
      <c r="F1" s="702">
        <f t="shared" si="0"/>
        <v>5</v>
      </c>
      <c r="G1" s="702">
        <f>F1+1</f>
        <v>6</v>
      </c>
      <c r="H1" s="702">
        <f>G1+1</f>
        <v>7</v>
      </c>
      <c r="I1" s="702">
        <f>H1+1</f>
        <v>8</v>
      </c>
      <c r="J1" s="702">
        <f>I1+1</f>
        <v>9</v>
      </c>
      <c r="K1" s="702">
        <f t="shared" si="0"/>
        <v>10</v>
      </c>
      <c r="L1" s="702">
        <f t="shared" si="0"/>
        <v>11</v>
      </c>
      <c r="M1" s="702">
        <f t="shared" si="0"/>
        <v>12</v>
      </c>
      <c r="N1" s="703">
        <f t="shared" si="0"/>
        <v>13</v>
      </c>
      <c r="O1" s="701">
        <f t="shared" si="0"/>
        <v>14</v>
      </c>
      <c r="P1" s="704">
        <f t="shared" si="0"/>
        <v>15</v>
      </c>
      <c r="Q1" s="704">
        <f t="shared" si="0"/>
        <v>16</v>
      </c>
      <c r="R1" s="704">
        <f t="shared" ref="R1:AD1" si="1">Q1+1</f>
        <v>17</v>
      </c>
      <c r="S1" s="704">
        <f t="shared" si="1"/>
        <v>18</v>
      </c>
      <c r="T1" s="704">
        <f t="shared" si="1"/>
        <v>19</v>
      </c>
      <c r="U1" s="704">
        <f t="shared" si="1"/>
        <v>20</v>
      </c>
      <c r="V1" s="704">
        <f t="shared" si="1"/>
        <v>21</v>
      </c>
      <c r="W1" s="704">
        <f t="shared" si="1"/>
        <v>22</v>
      </c>
      <c r="X1" s="703">
        <f t="shared" si="1"/>
        <v>23</v>
      </c>
      <c r="Y1" s="704">
        <f t="shared" si="1"/>
        <v>24</v>
      </c>
      <c r="Z1" s="704">
        <f t="shared" si="1"/>
        <v>25</v>
      </c>
      <c r="AA1" s="704">
        <f t="shared" si="1"/>
        <v>26</v>
      </c>
      <c r="AB1" s="704">
        <f t="shared" si="1"/>
        <v>27</v>
      </c>
      <c r="AC1" s="405">
        <f t="shared" si="1"/>
        <v>28</v>
      </c>
      <c r="AD1" s="406">
        <f t="shared" si="1"/>
        <v>29</v>
      </c>
      <c r="AE1" s="713">
        <f t="shared" ref="AE1" si="2">AD1+1</f>
        <v>30</v>
      </c>
      <c r="AF1" s="714">
        <f t="shared" ref="AF1" si="3">AE1+1</f>
        <v>31</v>
      </c>
      <c r="AG1" s="714">
        <f t="shared" ref="AG1" si="4">AF1+1</f>
        <v>32</v>
      </c>
      <c r="AH1" s="714">
        <f t="shared" ref="AH1" si="5">AG1+1</f>
        <v>33</v>
      </c>
      <c r="AI1" s="714">
        <f t="shared" ref="AI1" si="6">AH1+1</f>
        <v>34</v>
      </c>
      <c r="AJ1" s="715">
        <f t="shared" ref="AJ1" si="7">AI1+1</f>
        <v>35</v>
      </c>
      <c r="AK1" s="2">
        <f t="shared" ref="AK1" si="8">AJ1+1</f>
        <v>36</v>
      </c>
      <c r="AL1" s="2">
        <f t="shared" ref="AL1" si="9">AK1+1</f>
        <v>37</v>
      </c>
      <c r="AM1" s="2">
        <f t="shared" ref="AM1" si="10">AL1+1</f>
        <v>38</v>
      </c>
      <c r="AN1" s="2">
        <f t="shared" ref="AN1" si="11">AM1+1</f>
        <v>39</v>
      </c>
      <c r="AO1" s="2">
        <f t="shared" ref="AO1" si="12">AN1+1</f>
        <v>40</v>
      </c>
      <c r="AP1" s="2">
        <f t="shared" ref="AP1" si="13">AO1+1</f>
        <v>41</v>
      </c>
      <c r="AQ1" s="2">
        <f t="shared" ref="AQ1" si="14">AP1+1</f>
        <v>42</v>
      </c>
      <c r="AR1" s="2">
        <f t="shared" ref="AR1" si="15">AQ1+1</f>
        <v>43</v>
      </c>
      <c r="AS1" s="2">
        <f t="shared" ref="AS1" si="16">AR1+1</f>
        <v>44</v>
      </c>
      <c r="AT1" s="2">
        <f t="shared" ref="AT1" si="17">AS1+1</f>
        <v>45</v>
      </c>
      <c r="AU1" s="2">
        <f t="shared" ref="AU1" si="18">AT1+1</f>
        <v>46</v>
      </c>
      <c r="AV1" s="2">
        <f t="shared" ref="AV1" si="19">AU1+1</f>
        <v>47</v>
      </c>
      <c r="AW1" s="2">
        <f t="shared" ref="AW1" si="20">AV1+1</f>
        <v>48</v>
      </c>
      <c r="AX1" s="2">
        <f t="shared" ref="AX1" si="21">AW1+1</f>
        <v>49</v>
      </c>
      <c r="AY1" s="2">
        <f t="shared" ref="AY1" si="22">AX1+1</f>
        <v>50</v>
      </c>
      <c r="AZ1" s="2">
        <f t="shared" ref="AZ1" si="23">AY1+1</f>
        <v>51</v>
      </c>
      <c r="BA1" s="2">
        <f t="shared" ref="BA1" si="24">AZ1+1</f>
        <v>52</v>
      </c>
      <c r="BB1" s="2">
        <f t="shared" ref="BB1" si="25">BA1+1</f>
        <v>53</v>
      </c>
      <c r="BC1" s="2">
        <f t="shared" ref="BC1" si="26">BB1+1</f>
        <v>54</v>
      </c>
      <c r="BD1" s="2">
        <f t="shared" ref="BD1" si="27">BC1+1</f>
        <v>55</v>
      </c>
      <c r="BE1" s="2">
        <f t="shared" ref="BE1" si="28">BD1+1</f>
        <v>56</v>
      </c>
      <c r="BF1" s="2">
        <f t="shared" ref="BF1" si="29">BE1+1</f>
        <v>57</v>
      </c>
      <c r="BG1" s="2">
        <f t="shared" ref="BG1" si="30">BF1+1</f>
        <v>58</v>
      </c>
      <c r="BH1" s="2">
        <f t="shared" ref="BH1" si="31">BG1+1</f>
        <v>59</v>
      </c>
      <c r="BI1" s="2">
        <f t="shared" ref="BI1" si="32">BH1+1</f>
        <v>60</v>
      </c>
      <c r="BJ1" s="2">
        <f t="shared" ref="BJ1" si="33">BI1+1</f>
        <v>61</v>
      </c>
      <c r="BK1" s="2">
        <f t="shared" ref="BK1" si="34">BJ1+1</f>
        <v>62</v>
      </c>
      <c r="BL1" s="2">
        <f t="shared" ref="BL1" si="35">BK1+1</f>
        <v>63</v>
      </c>
      <c r="BM1" s="2">
        <f t="shared" ref="BM1" si="36">BL1+1</f>
        <v>64</v>
      </c>
      <c r="BN1" s="2">
        <f t="shared" ref="BN1" si="37">BM1+1</f>
        <v>65</v>
      </c>
      <c r="BO1" s="2">
        <f t="shared" ref="BO1" si="38">BN1+1</f>
        <v>66</v>
      </c>
      <c r="BP1" s="2">
        <f t="shared" ref="BP1" si="39">BO1+1</f>
        <v>67</v>
      </c>
      <c r="BQ1" s="2">
        <f t="shared" ref="BQ1" si="40">BP1+1</f>
        <v>68</v>
      </c>
      <c r="BR1" s="2">
        <f t="shared" ref="BR1" si="41">BQ1+1</f>
        <v>69</v>
      </c>
      <c r="BS1" s="2">
        <f t="shared" ref="BS1" si="42">BR1+1</f>
        <v>70</v>
      </c>
      <c r="BT1" s="2">
        <f t="shared" ref="BT1" si="43">BS1+1</f>
        <v>71</v>
      </c>
      <c r="BU1" s="2">
        <f t="shared" ref="BU1" si="44">BT1+1</f>
        <v>72</v>
      </c>
      <c r="BV1" s="2">
        <f t="shared" ref="BV1" si="45">BU1+1</f>
        <v>73</v>
      </c>
      <c r="BW1" s="2">
        <f t="shared" ref="BW1" si="46">BV1+1</f>
        <v>74</v>
      </c>
      <c r="BX1" s="2">
        <f t="shared" ref="BX1" si="47">BW1+1</f>
        <v>75</v>
      </c>
      <c r="BY1" s="2">
        <f t="shared" ref="BY1" si="48">BX1+1</f>
        <v>76</v>
      </c>
      <c r="BZ1" s="2">
        <f t="shared" ref="BZ1" si="49">BY1+1</f>
        <v>77</v>
      </c>
      <c r="CA1" s="2">
        <f t="shared" ref="CA1" si="50">BZ1+1</f>
        <v>78</v>
      </c>
      <c r="CB1" s="2">
        <f t="shared" ref="CB1" si="51">CA1+1</f>
        <v>79</v>
      </c>
      <c r="CC1" s="2">
        <f t="shared" ref="CC1" si="52">CB1+1</f>
        <v>80</v>
      </c>
      <c r="CD1" s="2">
        <f t="shared" ref="CD1" si="53">CC1+1</f>
        <v>81</v>
      </c>
      <c r="CE1" s="2">
        <f t="shared" ref="CE1" si="54">CD1+1</f>
        <v>82</v>
      </c>
      <c r="CF1" s="2">
        <f t="shared" ref="CF1" si="55">CE1+1</f>
        <v>83</v>
      </c>
      <c r="CG1" s="2">
        <f t="shared" ref="CG1" si="56">CF1+1</f>
        <v>84</v>
      </c>
      <c r="CH1" s="2">
        <f t="shared" ref="CH1" si="57">CG1+1</f>
        <v>85</v>
      </c>
      <c r="CI1" s="2">
        <f t="shared" ref="CI1" si="58">CH1+1</f>
        <v>86</v>
      </c>
      <c r="CJ1" s="2">
        <f t="shared" ref="CJ1" si="59">CI1+1</f>
        <v>87</v>
      </c>
      <c r="CK1" s="2">
        <f t="shared" ref="CK1" si="60">CJ1+1</f>
        <v>88</v>
      </c>
      <c r="CL1" s="2">
        <f t="shared" ref="CL1" si="61">CK1+1</f>
        <v>89</v>
      </c>
      <c r="CM1" s="2">
        <f t="shared" ref="CM1" si="62">CL1+1</f>
        <v>90</v>
      </c>
      <c r="CN1" s="2">
        <f t="shared" ref="CN1" si="63">CM1+1</f>
        <v>91</v>
      </c>
      <c r="CO1" s="2">
        <f t="shared" ref="CO1" si="64">CN1+1</f>
        <v>92</v>
      </c>
      <c r="CP1" s="2">
        <f t="shared" ref="CP1" si="65">CO1+1</f>
        <v>93</v>
      </c>
      <c r="CQ1" s="2">
        <f t="shared" ref="CQ1" si="66">CP1+1</f>
        <v>94</v>
      </c>
      <c r="CR1" s="2">
        <f t="shared" ref="CR1" si="67">CQ1+1</f>
        <v>95</v>
      </c>
      <c r="CS1" s="2">
        <f t="shared" ref="CS1" si="68">CR1+1</f>
        <v>96</v>
      </c>
      <c r="CT1" s="2">
        <f t="shared" ref="CT1" si="69">CS1+1</f>
        <v>97</v>
      </c>
      <c r="CU1" s="2">
        <f t="shared" ref="CU1" si="70">CT1+1</f>
        <v>98</v>
      </c>
      <c r="CV1" s="2">
        <f t="shared" ref="CV1" si="71">CU1+1</f>
        <v>99</v>
      </c>
      <c r="CW1" s="2">
        <f t="shared" ref="CW1" si="72">CV1+1</f>
        <v>100</v>
      </c>
      <c r="CX1" s="2">
        <f t="shared" ref="CX1" si="73">CW1+1</f>
        <v>101</v>
      </c>
      <c r="CY1" s="2">
        <f t="shared" ref="CY1" si="74">CX1+1</f>
        <v>102</v>
      </c>
      <c r="CZ1" s="2">
        <f t="shared" ref="CZ1" si="75">CY1+1</f>
        <v>103</v>
      </c>
      <c r="DA1" s="2">
        <f t="shared" ref="DA1" si="76">CZ1+1</f>
        <v>104</v>
      </c>
      <c r="DB1" s="2">
        <f t="shared" ref="DB1" si="77">DA1+1</f>
        <v>105</v>
      </c>
      <c r="DC1" s="2">
        <f t="shared" ref="DC1" si="78">DB1+1</f>
        <v>106</v>
      </c>
      <c r="DD1" s="2">
        <f t="shared" ref="DD1" si="79">DC1+1</f>
        <v>107</v>
      </c>
      <c r="DE1" s="2">
        <f t="shared" ref="DE1" si="80">DD1+1</f>
        <v>108</v>
      </c>
      <c r="DF1" s="2">
        <f t="shared" ref="DF1" si="81">DE1+1</f>
        <v>109</v>
      </c>
      <c r="DG1" s="2">
        <f t="shared" ref="DG1" si="82">DF1+1</f>
        <v>110</v>
      </c>
      <c r="DH1" s="2">
        <f t="shared" ref="DH1" si="83">DG1+1</f>
        <v>111</v>
      </c>
      <c r="DI1" s="2">
        <f t="shared" ref="DI1" si="84">DH1+1</f>
        <v>112</v>
      </c>
      <c r="DJ1" s="2">
        <f t="shared" ref="DJ1" si="85">DI1+1</f>
        <v>113</v>
      </c>
      <c r="DK1" s="386">
        <f t="shared" ref="DK1" si="86">DJ1+1</f>
        <v>114</v>
      </c>
      <c r="DL1" s="407">
        <f t="shared" ref="DL1" si="87">DK1+1</f>
        <v>115</v>
      </c>
    </row>
    <row r="2" spans="1:117" ht="21.75" customHeight="1" thickBot="1" x14ac:dyDescent="0.25">
      <c r="A2" s="1238"/>
      <c r="B2" s="1234" t="s">
        <v>158</v>
      </c>
      <c r="C2" s="1235"/>
      <c r="D2" s="1236"/>
      <c r="E2" s="1225" t="s">
        <v>422</v>
      </c>
      <c r="F2" s="1226"/>
      <c r="G2" s="1226"/>
      <c r="H2" s="1226"/>
      <c r="I2" s="1226"/>
      <c r="J2" s="1226"/>
      <c r="K2" s="1226"/>
      <c r="L2" s="1226"/>
      <c r="M2" s="1226"/>
      <c r="N2" s="1227"/>
      <c r="O2" s="1225" t="s">
        <v>423</v>
      </c>
      <c r="P2" s="1226"/>
      <c r="Q2" s="1226"/>
      <c r="R2" s="1226"/>
      <c r="S2" s="1226"/>
      <c r="T2" s="1226"/>
      <c r="U2" s="1226"/>
      <c r="V2" s="1226"/>
      <c r="W2" s="1226"/>
      <c r="X2" s="1227"/>
      <c r="Y2" s="1225" t="s">
        <v>426</v>
      </c>
      <c r="Z2" s="1226"/>
      <c r="AA2" s="1227"/>
      <c r="AB2" s="1240" t="s">
        <v>170</v>
      </c>
      <c r="AC2" s="1240"/>
      <c r="AD2" s="1241"/>
      <c r="AE2" s="1231" t="s">
        <v>471</v>
      </c>
      <c r="AF2" s="1232"/>
      <c r="AG2" s="1232"/>
      <c r="AH2" s="1232"/>
      <c r="AI2" s="1232"/>
      <c r="AJ2" s="1233"/>
      <c r="AK2" s="1242" t="s">
        <v>424</v>
      </c>
      <c r="AL2" s="1243"/>
      <c r="AM2" s="1243"/>
      <c r="AN2" s="1243"/>
      <c r="AO2" s="1243"/>
      <c r="AP2" s="1243"/>
      <c r="AQ2" s="1243"/>
      <c r="AR2" s="1243"/>
      <c r="AS2" s="1243"/>
      <c r="AT2" s="1244"/>
      <c r="AU2" s="1250" t="s">
        <v>425</v>
      </c>
      <c r="AV2" s="1251"/>
      <c r="AW2" s="1251"/>
      <c r="AX2" s="1251"/>
      <c r="AY2" s="1251"/>
      <c r="AZ2" s="1251"/>
      <c r="BA2" s="1251"/>
      <c r="BB2" s="1251"/>
      <c r="BC2" s="1252"/>
      <c r="BD2" s="1253" t="s">
        <v>199</v>
      </c>
      <c r="BE2" s="1254"/>
      <c r="BF2" s="1254"/>
      <c r="BG2" s="1254"/>
      <c r="BH2" s="1254"/>
      <c r="BI2" s="1254"/>
      <c r="BJ2" s="1254"/>
      <c r="BK2" s="1254"/>
      <c r="BL2" s="1254"/>
      <c r="BM2" s="1255"/>
      <c r="BN2" s="1256" t="s">
        <v>181</v>
      </c>
      <c r="BO2" s="1257"/>
      <c r="BP2" s="1257"/>
      <c r="BQ2" s="1257"/>
      <c r="BR2" s="1257"/>
      <c r="BS2" s="1257"/>
      <c r="BT2" s="1257"/>
      <c r="BU2" s="1257"/>
      <c r="BV2" s="1257"/>
      <c r="BW2" s="1258"/>
      <c r="BX2" s="1259" t="s">
        <v>179</v>
      </c>
      <c r="BY2" s="1260"/>
      <c r="BZ2" s="1260"/>
      <c r="CA2" s="1260"/>
      <c r="CB2" s="1260"/>
      <c r="CC2" s="1260"/>
      <c r="CD2" s="1260"/>
      <c r="CE2" s="1260"/>
      <c r="CF2" s="1260"/>
      <c r="CG2" s="1261"/>
      <c r="CH2" s="1247" t="s">
        <v>318</v>
      </c>
      <c r="CI2" s="1248"/>
      <c r="CJ2" s="1248"/>
      <c r="CK2" s="1248"/>
      <c r="CL2" s="1248"/>
      <c r="CM2" s="1248"/>
      <c r="CN2" s="1248"/>
      <c r="CO2" s="1248"/>
      <c r="CP2" s="1248"/>
      <c r="CQ2" s="1249"/>
      <c r="CR2" s="1262" t="s">
        <v>167</v>
      </c>
      <c r="CS2" s="1263"/>
      <c r="CT2" s="1263"/>
      <c r="CU2" s="1263"/>
      <c r="CV2" s="1263"/>
      <c r="CW2" s="1263"/>
      <c r="CX2" s="1263"/>
      <c r="CY2" s="1263"/>
      <c r="CZ2" s="1263"/>
      <c r="DA2" s="1264"/>
      <c r="DB2" s="1265" t="s">
        <v>273</v>
      </c>
      <c r="DC2" s="1266"/>
      <c r="DD2" s="1266"/>
      <c r="DE2" s="1266"/>
      <c r="DF2" s="1266"/>
      <c r="DG2" s="1266"/>
      <c r="DH2" s="1266"/>
      <c r="DI2" s="1266"/>
      <c r="DJ2" s="1266"/>
      <c r="DK2" s="1267"/>
      <c r="DL2" s="1245" t="s">
        <v>428</v>
      </c>
      <c r="DM2" s="1246"/>
    </row>
    <row r="3" spans="1:117" s="4" customFormat="1" ht="46.5" customHeight="1" thickBot="1" x14ac:dyDescent="0.3">
      <c r="A3" s="1239"/>
      <c r="B3" s="699" t="s">
        <v>472</v>
      </c>
      <c r="C3" s="490" t="s">
        <v>2</v>
      </c>
      <c r="D3" s="491" t="s">
        <v>16</v>
      </c>
      <c r="E3" s="489" t="s">
        <v>117</v>
      </c>
      <c r="F3" s="490" t="s">
        <v>118</v>
      </c>
      <c r="G3" s="490" t="s">
        <v>119</v>
      </c>
      <c r="H3" s="490" t="s">
        <v>120</v>
      </c>
      <c r="I3" s="490" t="s">
        <v>121</v>
      </c>
      <c r="J3" s="490" t="s">
        <v>122</v>
      </c>
      <c r="K3" s="490" t="s">
        <v>123</v>
      </c>
      <c r="L3" s="490" t="s">
        <v>124</v>
      </c>
      <c r="M3" s="490" t="s">
        <v>125</v>
      </c>
      <c r="N3" s="491" t="s">
        <v>126</v>
      </c>
      <c r="O3" s="492">
        <v>2</v>
      </c>
      <c r="P3" s="493">
        <f>O3+1</f>
        <v>3</v>
      </c>
      <c r="Q3" s="493">
        <f t="shared" ref="Q3:X3" si="88">P3+1</f>
        <v>4</v>
      </c>
      <c r="R3" s="493">
        <f t="shared" si="88"/>
        <v>5</v>
      </c>
      <c r="S3" s="493">
        <f t="shared" si="88"/>
        <v>6</v>
      </c>
      <c r="T3" s="493">
        <f t="shared" si="88"/>
        <v>7</v>
      </c>
      <c r="U3" s="493">
        <f t="shared" si="88"/>
        <v>8</v>
      </c>
      <c r="V3" s="493">
        <f t="shared" si="88"/>
        <v>9</v>
      </c>
      <c r="W3" s="493">
        <f t="shared" si="88"/>
        <v>10</v>
      </c>
      <c r="X3" s="494">
        <f t="shared" si="88"/>
        <v>11</v>
      </c>
      <c r="Y3" s="641" t="s">
        <v>455</v>
      </c>
      <c r="Z3" s="642" t="s">
        <v>454</v>
      </c>
      <c r="AA3" s="901" t="s">
        <v>450</v>
      </c>
      <c r="AB3" s="508" t="s">
        <v>162</v>
      </c>
      <c r="AC3" s="508" t="s">
        <v>427</v>
      </c>
      <c r="AD3" s="732" t="s">
        <v>272</v>
      </c>
      <c r="AE3" s="1031" t="s">
        <v>418</v>
      </c>
      <c r="AF3" s="1044" t="s">
        <v>551</v>
      </c>
      <c r="AG3" s="1045" t="s">
        <v>608</v>
      </c>
      <c r="AH3" s="959" t="s">
        <v>419</v>
      </c>
      <c r="AI3" s="1046" t="s">
        <v>7</v>
      </c>
      <c r="AJ3" s="959" t="s">
        <v>32</v>
      </c>
      <c r="AK3" s="416">
        <f t="shared" ref="AK3:AT3" si="89">O3</f>
        <v>2</v>
      </c>
      <c r="AL3" s="417">
        <f t="shared" si="89"/>
        <v>3</v>
      </c>
      <c r="AM3" s="417">
        <f t="shared" si="89"/>
        <v>4</v>
      </c>
      <c r="AN3" s="417">
        <f t="shared" si="89"/>
        <v>5</v>
      </c>
      <c r="AO3" s="417">
        <f t="shared" si="89"/>
        <v>6</v>
      </c>
      <c r="AP3" s="417">
        <f t="shared" si="89"/>
        <v>7</v>
      </c>
      <c r="AQ3" s="417">
        <f t="shared" si="89"/>
        <v>8</v>
      </c>
      <c r="AR3" s="417">
        <f t="shared" si="89"/>
        <v>9</v>
      </c>
      <c r="AS3" s="417">
        <f t="shared" si="89"/>
        <v>10</v>
      </c>
      <c r="AT3" s="418">
        <f t="shared" si="89"/>
        <v>11</v>
      </c>
      <c r="AU3" s="425" t="s">
        <v>140</v>
      </c>
      <c r="AV3" s="426" t="s">
        <v>141</v>
      </c>
      <c r="AW3" s="426" t="s">
        <v>142</v>
      </c>
      <c r="AX3" s="426" t="s">
        <v>143</v>
      </c>
      <c r="AY3" s="426" t="s">
        <v>144</v>
      </c>
      <c r="AZ3" s="426" t="s">
        <v>145</v>
      </c>
      <c r="BA3" s="426" t="s">
        <v>146</v>
      </c>
      <c r="BB3" s="426" t="s">
        <v>147</v>
      </c>
      <c r="BC3" s="427" t="s">
        <v>148</v>
      </c>
      <c r="BD3" s="434">
        <v>2</v>
      </c>
      <c r="BE3" s="435">
        <v>3</v>
      </c>
      <c r="BF3" s="435">
        <v>4</v>
      </c>
      <c r="BG3" s="435">
        <v>5</v>
      </c>
      <c r="BH3" s="435">
        <v>6</v>
      </c>
      <c r="BI3" s="435">
        <v>7</v>
      </c>
      <c r="BJ3" s="435">
        <v>8</v>
      </c>
      <c r="BK3" s="435">
        <v>9</v>
      </c>
      <c r="BL3" s="435">
        <v>10</v>
      </c>
      <c r="BM3" s="436">
        <v>11</v>
      </c>
      <c r="BN3" s="446">
        <v>2</v>
      </c>
      <c r="BO3" s="447">
        <v>3</v>
      </c>
      <c r="BP3" s="447">
        <v>4</v>
      </c>
      <c r="BQ3" s="447">
        <v>5</v>
      </c>
      <c r="BR3" s="447">
        <v>6</v>
      </c>
      <c r="BS3" s="447">
        <v>7</v>
      </c>
      <c r="BT3" s="447">
        <v>8</v>
      </c>
      <c r="BU3" s="447">
        <v>9</v>
      </c>
      <c r="BV3" s="447">
        <v>10</v>
      </c>
      <c r="BW3" s="448">
        <v>11</v>
      </c>
      <c r="BX3" s="458">
        <v>2</v>
      </c>
      <c r="BY3" s="459">
        <v>3</v>
      </c>
      <c r="BZ3" s="459">
        <v>4</v>
      </c>
      <c r="CA3" s="459">
        <v>5</v>
      </c>
      <c r="CB3" s="459">
        <v>6</v>
      </c>
      <c r="CC3" s="459">
        <v>7</v>
      </c>
      <c r="CD3" s="459">
        <v>8</v>
      </c>
      <c r="CE3" s="459">
        <v>9</v>
      </c>
      <c r="CF3" s="459">
        <v>10</v>
      </c>
      <c r="CG3" s="460">
        <v>11</v>
      </c>
      <c r="CH3" s="496">
        <v>2</v>
      </c>
      <c r="CI3" s="497">
        <v>3</v>
      </c>
      <c r="CJ3" s="497">
        <v>4</v>
      </c>
      <c r="CK3" s="497">
        <v>5</v>
      </c>
      <c r="CL3" s="497">
        <v>6</v>
      </c>
      <c r="CM3" s="497">
        <v>7</v>
      </c>
      <c r="CN3" s="497">
        <v>8</v>
      </c>
      <c r="CO3" s="497">
        <v>9</v>
      </c>
      <c r="CP3" s="497">
        <v>10</v>
      </c>
      <c r="CQ3" s="498">
        <v>11</v>
      </c>
      <c r="CR3" s="469">
        <v>2</v>
      </c>
      <c r="CS3" s="470">
        <v>3</v>
      </c>
      <c r="CT3" s="470">
        <v>4</v>
      </c>
      <c r="CU3" s="470">
        <v>5</v>
      </c>
      <c r="CV3" s="470">
        <v>6</v>
      </c>
      <c r="CW3" s="470">
        <v>7</v>
      </c>
      <c r="CX3" s="470">
        <v>8</v>
      </c>
      <c r="CY3" s="470">
        <v>9</v>
      </c>
      <c r="CZ3" s="470">
        <v>10</v>
      </c>
      <c r="DA3" s="471">
        <v>11</v>
      </c>
      <c r="DB3" s="416">
        <v>2</v>
      </c>
      <c r="DC3" s="417">
        <v>3</v>
      </c>
      <c r="DD3" s="417">
        <v>4</v>
      </c>
      <c r="DE3" s="417">
        <v>5</v>
      </c>
      <c r="DF3" s="417">
        <v>6</v>
      </c>
      <c r="DG3" s="417">
        <v>7</v>
      </c>
      <c r="DH3" s="417">
        <v>8</v>
      </c>
      <c r="DI3" s="417">
        <v>9</v>
      </c>
      <c r="DJ3" s="417">
        <v>10</v>
      </c>
      <c r="DK3" s="418">
        <v>11</v>
      </c>
      <c r="DL3" s="705" t="s">
        <v>379</v>
      </c>
      <c r="DM3" s="706" t="s">
        <v>376</v>
      </c>
    </row>
    <row r="4" spans="1:117" ht="15" customHeight="1" x14ac:dyDescent="0.25">
      <c r="A4" s="408" t="str">
        <f>itineraryNoPrefix &amp; ROW()-3</f>
        <v>9-1</v>
      </c>
      <c r="B4" s="849"/>
      <c r="C4" s="850" t="s">
        <v>168</v>
      </c>
      <c r="D4" s="851">
        <v>40</v>
      </c>
      <c r="E4" s="852" t="s">
        <v>128</v>
      </c>
      <c r="F4" s="853" t="s">
        <v>175</v>
      </c>
      <c r="G4" s="853" t="s">
        <v>63</v>
      </c>
      <c r="H4" s="853" t="s">
        <v>66</v>
      </c>
      <c r="I4" s="853" t="s">
        <v>90</v>
      </c>
      <c r="J4" s="853" t="s">
        <v>129</v>
      </c>
      <c r="K4" s="853" t="s">
        <v>110</v>
      </c>
      <c r="L4" s="853"/>
      <c r="M4" s="853"/>
      <c r="N4" s="854"/>
      <c r="O4" s="897" t="s">
        <v>367</v>
      </c>
      <c r="P4" s="855"/>
      <c r="Q4" s="855" t="s">
        <v>44</v>
      </c>
      <c r="R4" s="855"/>
      <c r="S4" s="855" t="s">
        <v>90</v>
      </c>
      <c r="T4" s="855"/>
      <c r="U4" s="855"/>
      <c r="V4" s="855"/>
      <c r="W4" s="855"/>
      <c r="X4" s="856"/>
      <c r="Y4" s="857" t="s">
        <v>116</v>
      </c>
      <c r="Z4" s="858" t="s">
        <v>87</v>
      </c>
      <c r="AA4" s="902" t="str">
        <f>IF(Z4="Hike In","y","")</f>
        <v/>
      </c>
      <c r="AB4" s="888"/>
      <c r="AC4" s="889"/>
      <c r="AD4" s="890"/>
      <c r="AE4" s="1032" t="str">
        <f>IF(ItineraryPrograms!AD3="y","y","")</f>
        <v/>
      </c>
      <c r="AF4" s="1036" t="str">
        <f>IF(ItineraryPrograms!AE3="y","y","")</f>
        <v>y</v>
      </c>
      <c r="AG4" s="1037" t="str">
        <f>IF(ItineraryPrograms!AF3="y","y","")</f>
        <v/>
      </c>
      <c r="AH4" s="955"/>
      <c r="AI4" s="1050" t="str" cm="1">
        <f t="array" ref="AI4">checkTooth(AA4,LOWER(ItineraryPrograms!AH3))</f>
        <v/>
      </c>
      <c r="AJ4" s="955"/>
      <c r="AK4" s="707">
        <f t="shared" ref="AK4:AK27" si="90">IF(E4&lt;&gt;"",INDEX(Elevations,MATCH(E4,camps,0)),"")</f>
        <v>7217</v>
      </c>
      <c r="AL4" s="708">
        <f t="shared" ref="AL4:AL27" si="91">IF(F4&lt;&gt;"",INDEX(Elevations,MATCH(F4,camps,0)),"")</f>
        <v>8962</v>
      </c>
      <c r="AM4" s="708">
        <f t="shared" ref="AM4:AM27" si="92">IF(G4&lt;&gt;"",INDEX(Elevations,MATCH(G4,camps,0)),"")</f>
        <v>9330</v>
      </c>
      <c r="AN4" s="708">
        <f t="shared" ref="AN4:AN27" si="93">IF(H4&lt;&gt;"",INDEX(Elevations,MATCH(H4,camps,0)),"")</f>
        <v>8991</v>
      </c>
      <c r="AO4" s="708">
        <f t="shared" ref="AO4:AO27" si="94">IF(I4&lt;&gt;"",INDEX(Elevations,MATCH(I4,camps,0)),"")</f>
        <v>7977</v>
      </c>
      <c r="AP4" s="708">
        <f t="shared" ref="AP4:AP27" si="95">IF(J4&lt;&gt;"",INDEX(Elevations,MATCH(J4,camps,0)),"")</f>
        <v>8423</v>
      </c>
      <c r="AQ4" s="708">
        <f t="shared" ref="AQ4:AQ27" si="96">IF(K4&lt;&gt;"",INDEX(Elevations,MATCH(K4,camps,0)),"")</f>
        <v>7968</v>
      </c>
      <c r="AR4" s="708" t="str">
        <f t="shared" ref="AR4:AR27" si="97">IF(L4&lt;&gt;"",INDEX(Elevations,MATCH(L4,camps,0)),"")</f>
        <v/>
      </c>
      <c r="AS4" s="708" t="str">
        <f t="shared" ref="AS4:AS27" si="98">IF(M4&lt;&gt;"",INDEX(Elevations,MATCH(M4,camps,0)),"")</f>
        <v/>
      </c>
      <c r="AT4" s="709" t="str">
        <f t="shared" ref="AT4:AT27" si="99">IF(N4&lt;&gt;"",INDEX(Elevations,MATCH(N4,camps,0)),"")</f>
        <v/>
      </c>
      <c r="AU4" s="710">
        <f>IF(AL4&lt;&gt;"",ABS(AK4-AL4),"")</f>
        <v>1745</v>
      </c>
      <c r="AV4" s="711">
        <f t="shared" ref="AV4:BC4" si="100">IF(AM4&lt;&gt;"",ABS(AL4-AM4),"")</f>
        <v>368</v>
      </c>
      <c r="AW4" s="711">
        <f t="shared" si="100"/>
        <v>339</v>
      </c>
      <c r="AX4" s="711">
        <f t="shared" si="100"/>
        <v>1014</v>
      </c>
      <c r="AY4" s="711">
        <f t="shared" si="100"/>
        <v>446</v>
      </c>
      <c r="AZ4" s="711">
        <f t="shared" si="100"/>
        <v>455</v>
      </c>
      <c r="BA4" s="711" t="str">
        <f t="shared" si="100"/>
        <v/>
      </c>
      <c r="BB4" s="711" t="str">
        <f t="shared" si="100"/>
        <v/>
      </c>
      <c r="BC4" s="712" t="str">
        <f t="shared" si="100"/>
        <v/>
      </c>
      <c r="BD4" s="437" t="str" cm="1">
        <f t="array" ref="BD4">IF(INDEX(campsByItinerary,numericItinerary($A4),BD$3-1)="","",VLOOKUP(INDEX(campsByItinerary,numericItinerary($A4),BD$3-1),campInfo,8))</f>
        <v>Y</v>
      </c>
      <c r="BE4" s="438" t="str" cm="1">
        <f t="array" ref="BE4">IF(INDEX(campsByItinerary,numericItinerary($A4),BE$3-1)="","",VLOOKUP(INDEX(campsByItinerary,numericItinerary($A4),BE$3-1),campInfo,8))</f>
        <v/>
      </c>
      <c r="BF4" s="438" t="str" cm="1">
        <f t="array" ref="BF4">IF(INDEX(campsByItinerary,numericItinerary($A4),BF$3-1)="","",VLOOKUP(INDEX(campsByItinerary,numericItinerary($A4),BF$3-1),campInfo,8))</f>
        <v>Y</v>
      </c>
      <c r="BG4" s="438" t="str" cm="1">
        <f t="array" ref="BG4">IF(INDEX(campsByItinerary,numericItinerary($A4),BG$3-1)="","",VLOOKUP(INDEX(campsByItinerary,numericItinerary($A4),BG$3-1),campInfo,8))</f>
        <v>Y</v>
      </c>
      <c r="BH4" s="438" t="str" cm="1">
        <f t="array" ref="BH4">IF(INDEX(campsByItinerary,numericItinerary($A4),BH$3-1)="","",VLOOKUP(INDEX(campsByItinerary,numericItinerary($A4),BH$3-1),campInfo,8))</f>
        <v>Y</v>
      </c>
      <c r="BI4" s="438" t="str" cm="1">
        <f t="array" ref="BI4">IF(INDEX(campsByItinerary,numericItinerary($A4),BI$3-1)="","",VLOOKUP(INDEX(campsByItinerary,numericItinerary($A4),BI$3-1),campInfo,8))</f>
        <v/>
      </c>
      <c r="BJ4" s="438" t="str" cm="1">
        <f t="array" ref="BJ4">IF(INDEX(campsByItinerary,numericItinerary($A4),BJ$3-1)="","",VLOOKUP(INDEX(campsByItinerary,numericItinerary($A4),BJ$3-1),campInfo,8))</f>
        <v>Y</v>
      </c>
      <c r="BK4" s="438" t="str" cm="1">
        <f t="array" ref="BK4">IF(INDEX(campsByItinerary,numericItinerary($A4),BK$3-1)="","",VLOOKUP(INDEX(campsByItinerary,numericItinerary($A4),BK$3-1),campInfo,8))</f>
        <v/>
      </c>
      <c r="BL4" s="438" t="str" cm="1">
        <f t="array" ref="BL4">IF(INDEX(campsByItinerary,numericItinerary($A4),BL$3-1)="","",VLOOKUP(INDEX(campsByItinerary,numericItinerary($A4),BL$3-1),campInfo,8))</f>
        <v/>
      </c>
      <c r="BM4" s="439" t="str" cm="1">
        <f t="array" ref="BM4">IF(INDEX(campsByItinerary,numericItinerary($A4),BM$3-1)="","",VLOOKUP(INDEX(campsByItinerary,numericItinerary($A4),BM$3-1),campInfo,8))</f>
        <v/>
      </c>
      <c r="BN4" s="449" t="str">
        <f>IF(BD4="Y","","Y")</f>
        <v/>
      </c>
      <c r="BO4" s="450" t="str">
        <f t="shared" ref="BO4:BW4" si="101">IF(BE4="Y","","Y")</f>
        <v>Y</v>
      </c>
      <c r="BP4" s="450" t="str">
        <f t="shared" si="101"/>
        <v/>
      </c>
      <c r="BQ4" s="450" t="str">
        <f t="shared" si="101"/>
        <v/>
      </c>
      <c r="BR4" s="450" t="str">
        <f t="shared" si="101"/>
        <v/>
      </c>
      <c r="BS4" s="450" t="str">
        <f t="shared" si="101"/>
        <v>Y</v>
      </c>
      <c r="BT4" s="450" t="str">
        <f t="shared" si="101"/>
        <v/>
      </c>
      <c r="BU4" s="450" t="str">
        <f t="shared" si="101"/>
        <v>Y</v>
      </c>
      <c r="BV4" s="450" t="str">
        <f t="shared" si="101"/>
        <v>Y</v>
      </c>
      <c r="BW4" s="451" t="str">
        <f t="shared" si="101"/>
        <v>Y</v>
      </c>
      <c r="BX4" s="461" t="str" cm="1">
        <f t="array" ref="BX4">IF(INDEX(campsByItinerary,numericItinerary($A4),BD$3-1)="","",VLOOKUP(INDEX(campsByItinerary,numericItinerary($A4),BD$3-1),campInfo,10))</f>
        <v/>
      </c>
      <c r="BY4" s="462" t="str" cm="1">
        <f t="array" ref="BY4">IF(INDEX(campsByItinerary,numericItinerary($A4),BE$3-1)="","",VLOOKUP(INDEX(campsByItinerary,numericItinerary($A4),BE$3-1),campInfo,10))</f>
        <v/>
      </c>
      <c r="BZ4" s="462" t="str" cm="1">
        <f t="array" ref="BZ4">IF(INDEX(campsByItinerary,numericItinerary($A4),BF$3-1)="","",VLOOKUP(INDEX(campsByItinerary,numericItinerary($A4),BF$3-1),campInfo,10))</f>
        <v/>
      </c>
      <c r="CA4" s="462" t="str" cm="1">
        <f t="array" ref="CA4">IF(INDEX(campsByItinerary,numericItinerary($A4),BG$3-1)="","",VLOOKUP(INDEX(campsByItinerary,numericItinerary($A4),BG$3-1),campInfo,10))</f>
        <v/>
      </c>
      <c r="CB4" s="462" t="str" cm="1">
        <f t="array" ref="CB4">IF(INDEX(campsByItinerary,numericItinerary($A4),BH$3-1)="","",VLOOKUP(INDEX(campsByItinerary,numericItinerary($A4),BH$3-1),campInfo,10))</f>
        <v/>
      </c>
      <c r="CC4" s="462" t="str" cm="1">
        <f t="array" ref="CC4">IF(INDEX(campsByItinerary,numericItinerary($A4),BI$3-1)="","",VLOOKUP(INDEX(campsByItinerary,numericItinerary($A4),BI$3-1),campInfo,10))</f>
        <v/>
      </c>
      <c r="CD4" s="462" t="str" cm="1">
        <f t="array" ref="CD4">IF(INDEX(campsByItinerary,numericItinerary($A4),BJ$3-1)="","",VLOOKUP(INDEX(campsByItinerary,numericItinerary($A4),BJ$3-1),campInfo,10))</f>
        <v/>
      </c>
      <c r="CE4" s="462" t="str" cm="1">
        <f t="array" ref="CE4">IF(INDEX(campsByItinerary,numericItinerary($A4),BK$3-1)="","",VLOOKUP(INDEX(campsByItinerary,numericItinerary($A4),BK$3-1),campInfo,10))</f>
        <v/>
      </c>
      <c r="CF4" s="462" t="str" cm="1">
        <f t="array" ref="CF4">IF(INDEX(campsByItinerary,numericItinerary($A4),BL$3-1)="","",VLOOKUP(INDEX(campsByItinerary,numericItinerary($A4),BL$3-1),campInfo,10))</f>
        <v/>
      </c>
      <c r="CG4" s="463" t="str" cm="1">
        <f t="array" ref="CG4">IF(INDEX(campsByItinerary,numericItinerary($A4),BM$3-1)="","",VLOOKUP(INDEX(campsByItinerary,numericItinerary($A4),BM$3-1),campInfo,10))</f>
        <v/>
      </c>
      <c r="CH4" s="499"/>
      <c r="CI4" s="500" t="str">
        <f t="shared" ref="CI4:CI15" si="102">IF(E4=F4,"Y","")</f>
        <v/>
      </c>
      <c r="CJ4" s="500" t="str">
        <f t="shared" ref="CJ4:CJ15" si="103">IF(F4=G4,"Y","")</f>
        <v/>
      </c>
      <c r="CK4" s="500" t="str">
        <f t="shared" ref="CK4:CK15" si="104">IF(G4=H4,"Y","")</f>
        <v/>
      </c>
      <c r="CL4" s="500" t="str">
        <f t="shared" ref="CL4:CL15" si="105">IF(H4=I4,"Y","")</f>
        <v/>
      </c>
      <c r="CM4" s="500" t="str">
        <f t="shared" ref="CM4:CM15" si="106">IF(I4=J4,"Y","")</f>
        <v/>
      </c>
      <c r="CN4" s="500" t="str">
        <f t="shared" ref="CN4:CN15" si="107">IF(J4=K4,"Y","")</f>
        <v/>
      </c>
      <c r="CO4" s="500" t="str">
        <f t="shared" ref="CO4:CO15" si="108">IF(K4=L4,"Y","")</f>
        <v/>
      </c>
      <c r="CP4" s="500" t="str">
        <f t="shared" ref="CP4:CP15" si="109">IF(L4=M4,"Y","")</f>
        <v>Y</v>
      </c>
      <c r="CQ4" s="501" t="str">
        <f t="shared" ref="CQ4:CQ15" si="110">IF(M4=N4,"Y","")</f>
        <v>Y</v>
      </c>
      <c r="CR4" s="495" t="str" cm="1">
        <f t="array" ref="CR4">INDEX(campsByItinerary,numericItinerary($A4),BD$3-1)</f>
        <v>Abreu</v>
      </c>
      <c r="CS4" s="472" t="str" cm="1">
        <f t="array" ref="CS4">IF(INDEX(campsByItinerary,numericItinerary($A4),BE$3-1)="","",VLOOKUP(INDEX(campsByItinerary,numericItinerary($A4),BE$3-1),campInfo,2))</f>
        <v>South</v>
      </c>
      <c r="CT4" s="472" t="str" cm="1">
        <f t="array" ref="CT4">IF(INDEX(campsByItinerary,numericItinerary($A4),BF$3-1)="","",VLOOKUP(INDEX(campsByItinerary,numericItinerary($A4),BF$3-1),campInfo,2))</f>
        <v>South</v>
      </c>
      <c r="CU4" s="472" t="str" cm="1">
        <f t="array" ref="CU4">IF(INDEX(campsByItinerary,numericItinerary($A4),BG$3-1)="","",VLOOKUP(INDEX(campsByItinerary,numericItinerary($A4),BG$3-1),campInfo,2))</f>
        <v>South</v>
      </c>
      <c r="CV4" s="472" t="str" cm="1">
        <f t="array" ref="CV4">IF(INDEX(campsByItinerary,numericItinerary($A4),BH$3-1)="","",VLOOKUP(INDEX(campsByItinerary,numericItinerary($A4),BH$3-1),campInfo,2))</f>
        <v>South</v>
      </c>
      <c r="CW4" s="472" t="str" cm="1">
        <f t="array" ref="CW4">IF(INDEX(campsByItinerary,numericItinerary($A4),BI$3-1)="","",VLOOKUP(INDEX(campsByItinerary,numericItinerary($A4),BI$3-1),campInfo,2))</f>
        <v>South</v>
      </c>
      <c r="CX4" s="472" t="str" cm="1">
        <f t="array" ref="CX4">IF(INDEX(campsByItinerary,numericItinerary($A4),BJ$3-1)="","",VLOOKUP(INDEX(campsByItinerary,numericItinerary($A4),BJ$3-1),campInfo,2))</f>
        <v>South</v>
      </c>
      <c r="CY4" s="472" t="str" cm="1">
        <f t="array" ref="CY4">IF(INDEX(campsByItinerary,numericItinerary($A4),BK$3-1)="","",VLOOKUP(INDEX(campsByItinerary,numericItinerary($A4),BK$3-1),campInfo,2))</f>
        <v/>
      </c>
      <c r="CZ4" s="472" t="str" cm="1">
        <f t="array" ref="CZ4">IF(INDEX(campsByItinerary,numericItinerary($A4),BL$3-1)="","",VLOOKUP(INDEX(campsByItinerary,numericItinerary($A4),BL$3-1),campInfo,2))</f>
        <v/>
      </c>
      <c r="DA4" s="473" t="str" cm="1">
        <f t="array" ref="DA4">IF(INDEX(campsByItinerary,numericItinerary($A4),BM$3-1)="","",VLOOKUP(INDEX(campsByItinerary,numericItinerary($A4),BM$3-1),campInfo,2))</f>
        <v/>
      </c>
      <c r="DB4" s="480" t="str" cm="1">
        <f t="array" ref="DB4">IF(INDEX(campsByItinerary,numericItinerary($A4),BD$3-1)="","",VLOOKUP(INDEX(campsByItinerary,numericItinerary($A4),BD$3-1),campInfo,12))</f>
        <v>South</v>
      </c>
      <c r="DC4" s="481" t="str" cm="1">
        <f t="array" ref="DC4">IF(INDEX(campsByItinerary,numericItinerary($A4),BE$3-1)="","",VLOOKUP(INDEX(campsByItinerary,numericItinerary($A4),BE$3-1),campInfo,12))</f>
        <v>South</v>
      </c>
      <c r="DD4" s="481" t="str" cm="1">
        <f t="array" ref="DD4">IF(INDEX(campsByItinerary,numericItinerary($A4),BF$3-1)="","",VLOOKUP(INDEX(campsByItinerary,numericItinerary($A4),BF$3-1),campInfo,12))</f>
        <v>South</v>
      </c>
      <c r="DE4" s="481" t="str" cm="1">
        <f t="array" ref="DE4">IF(INDEX(campsByItinerary,numericItinerary($A4),BG$3-1)="","",VLOOKUP(INDEX(campsByItinerary,numericItinerary($A4),BG$3-1),campInfo,12))</f>
        <v>South</v>
      </c>
      <c r="DF4" s="481" t="str" cm="1">
        <f t="array" ref="DF4">IF(INDEX(campsByItinerary,numericItinerary($A4),BH$3-1)="","",VLOOKUP(INDEX(campsByItinerary,numericItinerary($A4),BH$3-1),campInfo,12))</f>
        <v>South</v>
      </c>
      <c r="DG4" s="481" t="str" cm="1">
        <f t="array" ref="DG4">IF(INDEX(campsByItinerary,numericItinerary($A4),BI$3-1)="","",VLOOKUP(INDEX(campsByItinerary,numericItinerary($A4),BI$3-1),campInfo,12))</f>
        <v>South</v>
      </c>
      <c r="DH4" s="481" t="str" cm="1">
        <f t="array" ref="DH4">IF(INDEX(campsByItinerary,numericItinerary($A4),BJ$3-1)="","",VLOOKUP(INDEX(campsByItinerary,numericItinerary($A4),BJ$3-1),campInfo,12))</f>
        <v>South</v>
      </c>
      <c r="DI4" s="481" t="str" cm="1">
        <f t="array" ref="DI4">IF(INDEX(campsByItinerary,numericItinerary($A4),BK$3-1)="","",VLOOKUP(INDEX(campsByItinerary,numericItinerary($A4),BK$3-1),campInfo,12))</f>
        <v/>
      </c>
      <c r="DJ4" s="481" t="str" cm="1">
        <f t="array" ref="DJ4">IF(INDEX(campsByItinerary,numericItinerary($A4),BL$3-1)="","",VLOOKUP(INDEX(campsByItinerary,numericItinerary($A4),BL$3-1),campInfo,12))</f>
        <v/>
      </c>
      <c r="DK4" s="482" t="str" cm="1">
        <f t="array" ref="DK4">IF(INDEX(campsByItinerary,numericItinerary($A4),BM$3-1)="","",VLOOKUP(INDEX(campsByItinerary,numericItinerary($A4),BM$3-1),campInfo,12))</f>
        <v/>
      </c>
      <c r="DL4" s="414" cm="1">
        <f t="array" ref="DL4">getfoodPU("First",numericItinerary($A4))</f>
        <v>2</v>
      </c>
      <c r="DM4" s="415" cm="1">
        <f t="array" ref="DM4">getfoodPU("Max",numericItinerary($A4))</f>
        <v>2</v>
      </c>
    </row>
    <row r="5" spans="1:117" ht="15" customHeight="1" x14ac:dyDescent="0.25">
      <c r="A5" s="700" t="str">
        <f t="shared" ref="A5:A15" si="111">itineraryNoPrefix &amp; ROW()-3</f>
        <v>9-2</v>
      </c>
      <c r="B5" s="859"/>
      <c r="C5" s="860" t="s">
        <v>168</v>
      </c>
      <c r="D5" s="861">
        <v>36</v>
      </c>
      <c r="E5" s="862" t="s">
        <v>85</v>
      </c>
      <c r="F5" s="863" t="s">
        <v>298</v>
      </c>
      <c r="G5" s="863" t="s">
        <v>358</v>
      </c>
      <c r="H5" s="863" t="s">
        <v>92</v>
      </c>
      <c r="I5" s="863" t="s">
        <v>94</v>
      </c>
      <c r="J5" s="863" t="s">
        <v>453</v>
      </c>
      <c r="K5" s="863" t="s">
        <v>182</v>
      </c>
      <c r="L5" s="863"/>
      <c r="M5" s="863"/>
      <c r="N5" s="864"/>
      <c r="O5" s="898" t="s">
        <v>367</v>
      </c>
      <c r="P5" s="865"/>
      <c r="Q5" s="865" t="s">
        <v>256</v>
      </c>
      <c r="R5" s="865"/>
      <c r="S5" s="865" t="s">
        <v>94</v>
      </c>
      <c r="T5" s="865"/>
      <c r="U5" s="865"/>
      <c r="V5" s="865"/>
      <c r="W5" s="865"/>
      <c r="X5" s="866"/>
      <c r="Y5" s="857" t="s">
        <v>108</v>
      </c>
      <c r="Z5" s="858" t="s">
        <v>49</v>
      </c>
      <c r="AA5" s="1047" t="str">
        <f t="shared" ref="AA5:AA15" si="112">IF(Z5="Hike In","y","")</f>
        <v/>
      </c>
      <c r="AB5" s="888">
        <v>5</v>
      </c>
      <c r="AC5" s="889" t="s">
        <v>62</v>
      </c>
      <c r="AD5" s="890" t="s">
        <v>458</v>
      </c>
      <c r="AE5" s="1033" t="str">
        <f>IF(ItineraryPrograms!AD4="y","y","")</f>
        <v/>
      </c>
      <c r="AF5" s="1038" t="str">
        <f>IF(ItineraryPrograms!AE4="y","y","")</f>
        <v/>
      </c>
      <c r="AG5" s="1039" t="str">
        <f>IF(ItineraryPrograms!AF4="y","y","")</f>
        <v/>
      </c>
      <c r="AH5" s="956" t="s">
        <v>8</v>
      </c>
      <c r="AI5" s="1050" t="str" cm="1">
        <f t="array" ref="AI5">checkTooth(AA5,LOWER(ItineraryPrograms!AH4))</f>
        <v/>
      </c>
      <c r="AJ5" s="956"/>
      <c r="AK5" s="419">
        <f t="shared" si="90"/>
        <v>7550</v>
      </c>
      <c r="AL5" s="420">
        <f t="shared" si="91"/>
        <v>8515</v>
      </c>
      <c r="AM5" s="420">
        <f t="shared" si="92"/>
        <v>7373</v>
      </c>
      <c r="AN5" s="420">
        <f t="shared" si="93"/>
        <v>7724</v>
      </c>
      <c r="AO5" s="420">
        <f t="shared" si="94"/>
        <v>7150</v>
      </c>
      <c r="AP5" s="420">
        <f t="shared" si="95"/>
        <v>7560.52</v>
      </c>
      <c r="AQ5" s="420">
        <f t="shared" si="96"/>
        <v>7157</v>
      </c>
      <c r="AR5" s="420" t="str">
        <f t="shared" si="97"/>
        <v/>
      </c>
      <c r="AS5" s="420" t="str">
        <f t="shared" si="98"/>
        <v/>
      </c>
      <c r="AT5" s="421" t="str">
        <f t="shared" si="99"/>
        <v/>
      </c>
      <c r="AU5" s="428">
        <f t="shared" ref="AU5:AU27" si="113">IF(AL5&lt;&gt;"",ABS(AK5-AL5),"")</f>
        <v>965</v>
      </c>
      <c r="AV5" s="429">
        <f t="shared" ref="AV5:AV27" si="114">IF(AM5&lt;&gt;"",ABS(AL5-AM5),"")</f>
        <v>1142</v>
      </c>
      <c r="AW5" s="429">
        <f t="shared" ref="AW5:AW27" si="115">IF(AN5&lt;&gt;"",ABS(AM5-AN5),"")</f>
        <v>351</v>
      </c>
      <c r="AX5" s="429">
        <f t="shared" ref="AX5:AX27" si="116">IF(AO5&lt;&gt;"",ABS(AN5-AO5),"")</f>
        <v>574</v>
      </c>
      <c r="AY5" s="429">
        <f t="shared" ref="AY5:AY27" si="117">IF(AP5&lt;&gt;"",ABS(AO5-AP5),"")</f>
        <v>410.52000000000044</v>
      </c>
      <c r="AZ5" s="429">
        <f t="shared" ref="AZ5:AZ27" si="118">IF(AQ5&lt;&gt;"",ABS(AP5-AQ5),"")</f>
        <v>403.52000000000044</v>
      </c>
      <c r="BA5" s="429" t="str">
        <f t="shared" ref="BA5:BA27" si="119">IF(AR5&lt;&gt;"",ABS(AQ5-AR5),"")</f>
        <v/>
      </c>
      <c r="BB5" s="429" t="str">
        <f t="shared" ref="BB5:BB27" si="120">IF(AS5&lt;&gt;"",ABS(AR5-AS5),"")</f>
        <v/>
      </c>
      <c r="BC5" s="430" t="str">
        <f t="shared" ref="BC5:BC27" si="121">IF(AT5&lt;&gt;"",ABS(AS5-AT5),"")</f>
        <v/>
      </c>
      <c r="BD5" s="440" t="str" cm="1">
        <f t="array" ref="BD5">IF(INDEX(campsByItinerary,numericItinerary($A5),BD$3-1)="","",VLOOKUP(INDEX(campsByItinerary,numericItinerary($A5),BD$3-1),campInfo,8))</f>
        <v>Y</v>
      </c>
      <c r="BE5" s="441" t="str" cm="1">
        <f t="array" ref="BE5">IF(INDEX(campsByItinerary,numericItinerary($A5),BE$3-1)="","",VLOOKUP(INDEX(campsByItinerary,numericItinerary($A5),BE$3-1),campInfo,8))</f>
        <v/>
      </c>
      <c r="BF5" s="441" t="str" cm="1">
        <f t="array" ref="BF5">IF(INDEX(campsByItinerary,numericItinerary($A5),BF$3-1)="","",VLOOKUP(INDEX(campsByItinerary,numericItinerary($A5),BF$3-1),campInfo,8))</f>
        <v>Y</v>
      </c>
      <c r="BG5" s="441" t="str" cm="1">
        <f t="array" ref="BG5">IF(INDEX(campsByItinerary,numericItinerary($A5),BG$3-1)="","",VLOOKUP(INDEX(campsByItinerary,numericItinerary($A5),BG$3-1),campInfo,8))</f>
        <v/>
      </c>
      <c r="BH5" s="441" t="str" cm="1">
        <f t="array" ref="BH5">IF(INDEX(campsByItinerary,numericItinerary($A5),BH$3-1)="","",VLOOKUP(INDEX(campsByItinerary,numericItinerary($A5),BH$3-1),campInfo,8))</f>
        <v>Y</v>
      </c>
      <c r="BI5" s="441" t="str" cm="1">
        <f t="array" ref="BI5">IF(INDEX(campsByItinerary,numericItinerary($A5),BI$3-1)="","",VLOOKUP(INDEX(campsByItinerary,numericItinerary($A5),BI$3-1),campInfo,8))</f>
        <v/>
      </c>
      <c r="BJ5" s="441" t="str" cm="1">
        <f t="array" ref="BJ5">IF(INDEX(campsByItinerary,numericItinerary($A5),BJ$3-1)="","",VLOOKUP(INDEX(campsByItinerary,numericItinerary($A5),BJ$3-1),campInfo,8))</f>
        <v/>
      </c>
      <c r="BK5" s="441" t="str" cm="1">
        <f t="array" ref="BK5">IF(INDEX(campsByItinerary,numericItinerary($A5),BK$3-1)="","",VLOOKUP(INDEX(campsByItinerary,numericItinerary($A5),BK$3-1),campInfo,8))</f>
        <v/>
      </c>
      <c r="BL5" s="441" t="str" cm="1">
        <f t="array" ref="BL5">IF(INDEX(campsByItinerary,numericItinerary($A5),BL$3-1)="","",VLOOKUP(INDEX(campsByItinerary,numericItinerary($A5),BL$3-1),campInfo,8))</f>
        <v/>
      </c>
      <c r="BM5" s="442" t="str" cm="1">
        <f t="array" ref="BM5">IF(INDEX(campsByItinerary,numericItinerary($A5),BM$3-1)="","",VLOOKUP(INDEX(campsByItinerary,numericItinerary($A5),BM$3-1),campInfo,8))</f>
        <v/>
      </c>
      <c r="BN5" s="452" t="str">
        <f t="shared" ref="BN5:BN15" si="122">IF(BD5="Y","","Y")</f>
        <v/>
      </c>
      <c r="BO5" s="453" t="str">
        <f t="shared" ref="BO5:BO15" si="123">IF(BE5="Y","","Y")</f>
        <v>Y</v>
      </c>
      <c r="BP5" s="453" t="str">
        <f t="shared" ref="BP5:BP15" si="124">IF(BF5="Y","","Y")</f>
        <v/>
      </c>
      <c r="BQ5" s="453" t="str">
        <f t="shared" ref="BQ5:BQ15" si="125">IF(BG5="Y","","Y")</f>
        <v>Y</v>
      </c>
      <c r="BR5" s="453" t="str">
        <f t="shared" ref="BR5:BR15" si="126">IF(BH5="Y","","Y")</f>
        <v/>
      </c>
      <c r="BS5" s="453" t="str">
        <f t="shared" ref="BS5:BS15" si="127">IF(BI5="Y","","Y")</f>
        <v>Y</v>
      </c>
      <c r="BT5" s="453" t="str">
        <f t="shared" ref="BT5:BT15" si="128">IF(BJ5="Y","","Y")</f>
        <v>Y</v>
      </c>
      <c r="BU5" s="453" t="str">
        <f t="shared" ref="BU5:BU15" si="129">IF(BK5="Y","","Y")</f>
        <v>Y</v>
      </c>
      <c r="BV5" s="453" t="str">
        <f t="shared" ref="BV5:BV15" si="130">IF(BL5="Y","","Y")</f>
        <v>Y</v>
      </c>
      <c r="BW5" s="454" t="str">
        <f t="shared" ref="BW5:BW15" si="131">IF(BM5="Y","","Y")</f>
        <v>Y</v>
      </c>
      <c r="BX5" s="379" t="str" cm="1">
        <f t="array" ref="BX5">IF(INDEX(campsByItinerary,numericItinerary($A5),BD$3-1)="","",VLOOKUP(INDEX(campsByItinerary,numericItinerary($A5),BD$3-1),campInfo,10))</f>
        <v/>
      </c>
      <c r="BY5" s="464" t="str" cm="1">
        <f t="array" ref="BY5">IF(INDEX(campsByItinerary,numericItinerary($A5),BE$3-1)="","",VLOOKUP(INDEX(campsByItinerary,numericItinerary($A5),BE$3-1),campInfo,10))</f>
        <v>Y</v>
      </c>
      <c r="BZ5" s="464" t="str" cm="1">
        <f t="array" ref="BZ5">IF(INDEX(campsByItinerary,numericItinerary($A5),BF$3-1)="","",VLOOKUP(INDEX(campsByItinerary,numericItinerary($A5),BF$3-1),campInfo,10))</f>
        <v/>
      </c>
      <c r="CA5" s="464" t="str" cm="1">
        <f t="array" ref="CA5">IF(INDEX(campsByItinerary,numericItinerary($A5),BG$3-1)="","",VLOOKUP(INDEX(campsByItinerary,numericItinerary($A5),BG$3-1),campInfo,10))</f>
        <v/>
      </c>
      <c r="CB5" s="464" t="str" cm="1">
        <f t="array" ref="CB5">IF(INDEX(campsByItinerary,numericItinerary($A5),BH$3-1)="","",VLOOKUP(INDEX(campsByItinerary,numericItinerary($A5),BH$3-1),campInfo,10))</f>
        <v/>
      </c>
      <c r="CC5" s="464" t="str" cm="1">
        <f t="array" ref="CC5">IF(INDEX(campsByItinerary,numericItinerary($A5),BI$3-1)="","",VLOOKUP(INDEX(campsByItinerary,numericItinerary($A5),BI$3-1),campInfo,10))</f>
        <v/>
      </c>
      <c r="CD5" s="464" t="str" cm="1">
        <f t="array" ref="CD5">IF(INDEX(campsByItinerary,numericItinerary($A5),BJ$3-1)="","",VLOOKUP(INDEX(campsByItinerary,numericItinerary($A5),BJ$3-1),campInfo,10))</f>
        <v/>
      </c>
      <c r="CE5" s="464" t="str" cm="1">
        <f t="array" ref="CE5">IF(INDEX(campsByItinerary,numericItinerary($A5),BK$3-1)="","",VLOOKUP(INDEX(campsByItinerary,numericItinerary($A5),BK$3-1),campInfo,10))</f>
        <v/>
      </c>
      <c r="CF5" s="464" t="str" cm="1">
        <f t="array" ref="CF5">IF(INDEX(campsByItinerary,numericItinerary($A5),BL$3-1)="","",VLOOKUP(INDEX(campsByItinerary,numericItinerary($A5),BL$3-1),campInfo,10))</f>
        <v/>
      </c>
      <c r="CG5" s="465" t="str" cm="1">
        <f t="array" ref="CG5">IF(INDEX(campsByItinerary,numericItinerary($A5),BM$3-1)="","",VLOOKUP(INDEX(campsByItinerary,numericItinerary($A5),BM$3-1),campInfo,10))</f>
        <v/>
      </c>
      <c r="CH5" s="502"/>
      <c r="CI5" s="503" t="str">
        <f t="shared" si="102"/>
        <v/>
      </c>
      <c r="CJ5" s="503" t="str">
        <f t="shared" si="103"/>
        <v/>
      </c>
      <c r="CK5" s="503" t="str">
        <f t="shared" si="104"/>
        <v/>
      </c>
      <c r="CL5" s="503" t="str">
        <f t="shared" si="105"/>
        <v/>
      </c>
      <c r="CM5" s="503" t="str">
        <f t="shared" si="106"/>
        <v/>
      </c>
      <c r="CN5" s="503" t="str">
        <f t="shared" si="107"/>
        <v/>
      </c>
      <c r="CO5" s="503" t="str">
        <f t="shared" si="108"/>
        <v/>
      </c>
      <c r="CP5" s="503" t="str">
        <f t="shared" si="109"/>
        <v>Y</v>
      </c>
      <c r="CQ5" s="504" t="str">
        <f t="shared" si="110"/>
        <v>Y</v>
      </c>
      <c r="CR5" s="474" t="str" cm="1">
        <f t="array" ref="CR5">INDEX(campsByItinerary,numericItinerary($A5),BD$3-1)</f>
        <v>Harlan</v>
      </c>
      <c r="CS5" s="475" t="str" cm="1">
        <f t="array" ref="CS5">IF(INDEX(campsByItinerary,numericItinerary($A5),BE$3-1)="","",VLOOKUP(INDEX(campsByItinerary,numericItinerary($A5),BE$3-1),campInfo,2))</f>
        <v>Central</v>
      </c>
      <c r="CT5" s="475" t="str" cm="1">
        <f t="array" ref="CT5">IF(INDEX(campsByItinerary,numericItinerary($A5),BF$3-1)="","",VLOOKUP(INDEX(campsByItinerary,numericItinerary($A5),BF$3-1),campInfo,2))</f>
        <v>Central</v>
      </c>
      <c r="CU5" s="475" t="str" cm="1">
        <f t="array" ref="CU5">IF(INDEX(campsByItinerary,numericItinerary($A5),BG$3-1)="","",VLOOKUP(INDEX(campsByItinerary,numericItinerary($A5),BG$3-1),campInfo,2))</f>
        <v>North</v>
      </c>
      <c r="CV5" s="475" t="str" cm="1">
        <f t="array" ref="CV5">IF(INDEX(campsByItinerary,numericItinerary($A5),BH$3-1)="","",VLOOKUP(INDEX(campsByItinerary,numericItinerary($A5),BH$3-1),campInfo,2))</f>
        <v>North</v>
      </c>
      <c r="CW5" s="475" t="str" cm="1">
        <f t="array" ref="CW5">IF(INDEX(campsByItinerary,numericItinerary($A5),BI$3-1)="","",VLOOKUP(INDEX(campsByItinerary,numericItinerary($A5),BI$3-1),campInfo,2))</f>
        <v>North</v>
      </c>
      <c r="CX5" s="475" t="str" cm="1">
        <f t="array" ref="CX5">IF(INDEX(campsByItinerary,numericItinerary($A5),BJ$3-1)="","",VLOOKUP(INDEX(campsByItinerary,numericItinerary($A5),BJ$3-1),campInfo,2))</f>
        <v>North</v>
      </c>
      <c r="CY5" s="475" t="str" cm="1">
        <f t="array" ref="CY5">IF(INDEX(campsByItinerary,numericItinerary($A5),BK$3-1)="","",VLOOKUP(INDEX(campsByItinerary,numericItinerary($A5),BK$3-1),campInfo,2))</f>
        <v/>
      </c>
      <c r="CZ5" s="475" t="str" cm="1">
        <f t="array" ref="CZ5">IF(INDEX(campsByItinerary,numericItinerary($A5),BL$3-1)="","",VLOOKUP(INDEX(campsByItinerary,numericItinerary($A5),BL$3-1),campInfo,2))</f>
        <v/>
      </c>
      <c r="DA5" s="476" t="str" cm="1">
        <f t="array" ref="DA5">IF(INDEX(campsByItinerary,numericItinerary($A5),BM$3-1)="","",VLOOKUP(INDEX(campsByItinerary,numericItinerary($A5),BM$3-1),campInfo,2))</f>
        <v/>
      </c>
      <c r="DB5" s="483" t="str" cm="1">
        <f t="array" ref="DB5">IF(INDEX(campsByItinerary,numericItinerary($A5),BD$3-1)="","",VLOOKUP(INDEX(campsByItinerary,numericItinerary($A5),BD$3-1),campInfo,12))</f>
        <v>South</v>
      </c>
      <c r="DC5" s="484" t="str" cm="1">
        <f t="array" ref="DC5">IF(INDEX(campsByItinerary,numericItinerary($A5),BE$3-1)="","",VLOOKUP(INDEX(campsByItinerary,numericItinerary($A5),BE$3-1),campInfo,12))</f>
        <v>South</v>
      </c>
      <c r="DD5" s="484" t="str" cm="1">
        <f t="array" ref="DD5">IF(INDEX(campsByItinerary,numericItinerary($A5),BF$3-1)="","",VLOOKUP(INDEX(campsByItinerary,numericItinerary($A5),BF$3-1),campInfo,12))</f>
        <v>North &amp; South</v>
      </c>
      <c r="DE5" s="484" t="str" cm="1">
        <f t="array" ref="DE5">IF(INDEX(campsByItinerary,numericItinerary($A5),BG$3-1)="","",VLOOKUP(INDEX(campsByItinerary,numericItinerary($A5),BG$3-1),campInfo,12))</f>
        <v>North</v>
      </c>
      <c r="DF5" s="484" t="str" cm="1">
        <f t="array" ref="DF5">IF(INDEX(campsByItinerary,numericItinerary($A5),BH$3-1)="","",VLOOKUP(INDEX(campsByItinerary,numericItinerary($A5),BH$3-1),campInfo,12))</f>
        <v>North</v>
      </c>
      <c r="DG5" s="484" t="str" cm="1">
        <f t="array" ref="DG5">IF(INDEX(campsByItinerary,numericItinerary($A5),BI$3-1)="","",VLOOKUP(INDEX(campsByItinerary,numericItinerary($A5),BI$3-1),campInfo,12))</f>
        <v>North</v>
      </c>
      <c r="DH5" s="484" t="str" cm="1">
        <f t="array" ref="DH5">IF(INDEX(campsByItinerary,numericItinerary($A5),BJ$3-1)="","",VLOOKUP(INDEX(campsByItinerary,numericItinerary($A5),BJ$3-1),campInfo,12))</f>
        <v>North</v>
      </c>
      <c r="DI5" s="484" t="str" cm="1">
        <f t="array" ref="DI5">IF(INDEX(campsByItinerary,numericItinerary($A5),BK$3-1)="","",VLOOKUP(INDEX(campsByItinerary,numericItinerary($A5),BK$3-1),campInfo,12))</f>
        <v/>
      </c>
      <c r="DJ5" s="484" t="str" cm="1">
        <f t="array" ref="DJ5">IF(INDEX(campsByItinerary,numericItinerary($A5),BL$3-1)="","",VLOOKUP(INDEX(campsByItinerary,numericItinerary($A5),BL$3-1),campInfo,12))</f>
        <v/>
      </c>
      <c r="DK5" s="485" t="str" cm="1">
        <f t="array" ref="DK5">IF(INDEX(campsByItinerary,numericItinerary($A5),BM$3-1)="","",VLOOKUP(INDEX(campsByItinerary,numericItinerary($A5),BM$3-1),campInfo,12))</f>
        <v/>
      </c>
      <c r="DL5" s="410" cm="1">
        <f t="array" ref="DL5">getfoodPU("First",numericItinerary($A5))</f>
        <v>2</v>
      </c>
      <c r="DM5" s="411" cm="1">
        <f t="array" ref="DM5">getfoodPU("Max",numericItinerary($A5))</f>
        <v>2</v>
      </c>
    </row>
    <row r="6" spans="1:117" ht="15" customHeight="1" x14ac:dyDescent="0.25">
      <c r="A6" s="700" t="str">
        <f t="shared" si="111"/>
        <v>9-3</v>
      </c>
      <c r="B6" s="859"/>
      <c r="C6" s="860" t="s">
        <v>168</v>
      </c>
      <c r="D6" s="861">
        <v>41</v>
      </c>
      <c r="E6" s="862" t="s">
        <v>87</v>
      </c>
      <c r="F6" s="863" t="s">
        <v>103</v>
      </c>
      <c r="G6" s="863" t="s">
        <v>72</v>
      </c>
      <c r="H6" s="863" t="s">
        <v>41</v>
      </c>
      <c r="I6" s="863" t="s">
        <v>106</v>
      </c>
      <c r="J6" s="863" t="s">
        <v>102</v>
      </c>
      <c r="K6" s="863" t="s">
        <v>296</v>
      </c>
      <c r="L6" s="863"/>
      <c r="M6" s="863"/>
      <c r="N6" s="864"/>
      <c r="O6" s="898" t="s">
        <v>367</v>
      </c>
      <c r="P6" s="865" t="s">
        <v>90</v>
      </c>
      <c r="Q6" s="865"/>
      <c r="R6" s="865"/>
      <c r="S6" s="865"/>
      <c r="T6" s="865"/>
      <c r="U6" s="865" t="s">
        <v>256</v>
      </c>
      <c r="V6" s="865"/>
      <c r="W6" s="865"/>
      <c r="X6" s="866"/>
      <c r="Y6" s="857" t="s">
        <v>87</v>
      </c>
      <c r="Z6" s="858" t="s">
        <v>399</v>
      </c>
      <c r="AA6" s="1047" t="str">
        <f t="shared" si="112"/>
        <v/>
      </c>
      <c r="AB6" s="888"/>
      <c r="AC6" s="889"/>
      <c r="AD6" s="890"/>
      <c r="AE6" s="1033" t="str">
        <f>IF(ItineraryPrograms!AD5="y","y","")</f>
        <v/>
      </c>
      <c r="AF6" s="1038" t="str">
        <f>IF(ItineraryPrograms!AE5="y","y","")</f>
        <v/>
      </c>
      <c r="AG6" s="1039" t="str">
        <f>IF(ItineraryPrograms!AF5="y","y","")</f>
        <v/>
      </c>
      <c r="AH6" s="956" t="s">
        <v>8</v>
      </c>
      <c r="AI6" s="1050" t="str" cm="1">
        <f t="array" ref="AI6">checkTooth(AA6,LOWER(ItineraryPrograms!AH5))</f>
        <v>??</v>
      </c>
      <c r="AJ6" s="956"/>
      <c r="AK6" s="419">
        <f t="shared" si="90"/>
        <v>7469</v>
      </c>
      <c r="AL6" s="420">
        <f t="shared" si="91"/>
        <v>8724</v>
      </c>
      <c r="AM6" s="420">
        <f t="shared" si="92"/>
        <v>7515</v>
      </c>
      <c r="AN6" s="420">
        <f t="shared" si="93"/>
        <v>7776</v>
      </c>
      <c r="AO6" s="420">
        <f t="shared" si="94"/>
        <v>10490</v>
      </c>
      <c r="AP6" s="420">
        <f t="shared" si="95"/>
        <v>9193</v>
      </c>
      <c r="AQ6" s="420">
        <f t="shared" si="96"/>
        <v>7703</v>
      </c>
      <c r="AR6" s="420" t="str">
        <f t="shared" si="97"/>
        <v/>
      </c>
      <c r="AS6" s="420" t="str">
        <f t="shared" si="98"/>
        <v/>
      </c>
      <c r="AT6" s="421" t="str">
        <f t="shared" si="99"/>
        <v/>
      </c>
      <c r="AU6" s="428">
        <f t="shared" si="113"/>
        <v>1255</v>
      </c>
      <c r="AV6" s="429">
        <f t="shared" si="114"/>
        <v>1209</v>
      </c>
      <c r="AW6" s="429">
        <f t="shared" si="115"/>
        <v>261</v>
      </c>
      <c r="AX6" s="429">
        <f t="shared" si="116"/>
        <v>2714</v>
      </c>
      <c r="AY6" s="429">
        <f t="shared" si="117"/>
        <v>1297</v>
      </c>
      <c r="AZ6" s="429">
        <f t="shared" si="118"/>
        <v>1490</v>
      </c>
      <c r="BA6" s="429" t="str">
        <f t="shared" si="119"/>
        <v/>
      </c>
      <c r="BB6" s="429" t="str">
        <f t="shared" si="120"/>
        <v/>
      </c>
      <c r="BC6" s="430" t="str">
        <f t="shared" si="121"/>
        <v/>
      </c>
      <c r="BD6" s="440" t="str" cm="1">
        <f t="array" ref="BD6">IF(INDEX(campsByItinerary,numericItinerary($A6),BD$3-1)="","",VLOOKUP(INDEX(campsByItinerary,numericItinerary($A6),BD$3-1),campInfo,8))</f>
        <v/>
      </c>
      <c r="BE6" s="441" t="str" cm="1">
        <f t="array" ref="BE6">IF(INDEX(campsByItinerary,numericItinerary($A6),BE$3-1)="","",VLOOKUP(INDEX(campsByItinerary,numericItinerary($A6),BE$3-1),campInfo,8))</f>
        <v/>
      </c>
      <c r="BF6" s="441" t="str" cm="1">
        <f t="array" ref="BF6">IF(INDEX(campsByItinerary,numericItinerary($A6),BF$3-1)="","",VLOOKUP(INDEX(campsByItinerary,numericItinerary($A6),BF$3-1),campInfo,8))</f>
        <v>Y</v>
      </c>
      <c r="BG6" s="441" t="str" cm="1">
        <f t="array" ref="BG6">IF(INDEX(campsByItinerary,numericItinerary($A6),BG$3-1)="","",VLOOKUP(INDEX(campsByItinerary,numericItinerary($A6),BG$3-1),campInfo,8))</f>
        <v>N</v>
      </c>
      <c r="BH6" s="441" t="str" cm="1">
        <f t="array" ref="BH6">IF(INDEX(campsByItinerary,numericItinerary($A6),BH$3-1)="","",VLOOKUP(INDEX(campsByItinerary,numericItinerary($A6),BH$3-1),campInfo,8))</f>
        <v/>
      </c>
      <c r="BI6" s="441" t="str" cm="1">
        <f t="array" ref="BI6">IF(INDEX(campsByItinerary,numericItinerary($A6),BI$3-1)="","",VLOOKUP(INDEX(campsByItinerary,numericItinerary($A6),BI$3-1),campInfo,8))</f>
        <v>Y</v>
      </c>
      <c r="BJ6" s="441" t="str" cm="1">
        <f t="array" ref="BJ6">IF(INDEX(campsByItinerary,numericItinerary($A6),BJ$3-1)="","",VLOOKUP(INDEX(campsByItinerary,numericItinerary($A6),BJ$3-1),campInfo,8))</f>
        <v/>
      </c>
      <c r="BK6" s="441" t="str" cm="1">
        <f t="array" ref="BK6">IF(INDEX(campsByItinerary,numericItinerary($A6),BK$3-1)="","",VLOOKUP(INDEX(campsByItinerary,numericItinerary($A6),BK$3-1),campInfo,8))</f>
        <v/>
      </c>
      <c r="BL6" s="441" t="str" cm="1">
        <f t="array" ref="BL6">IF(INDEX(campsByItinerary,numericItinerary($A6),BL$3-1)="","",VLOOKUP(INDEX(campsByItinerary,numericItinerary($A6),BL$3-1),campInfo,8))</f>
        <v/>
      </c>
      <c r="BM6" s="442" t="str" cm="1">
        <f t="array" ref="BM6">IF(INDEX(campsByItinerary,numericItinerary($A6),BM$3-1)="","",VLOOKUP(INDEX(campsByItinerary,numericItinerary($A6),BM$3-1),campInfo,8))</f>
        <v/>
      </c>
      <c r="BN6" s="452" t="str">
        <f t="shared" si="122"/>
        <v>Y</v>
      </c>
      <c r="BO6" s="453" t="str">
        <f t="shared" si="123"/>
        <v>Y</v>
      </c>
      <c r="BP6" s="453" t="str">
        <f t="shared" si="124"/>
        <v/>
      </c>
      <c r="BQ6" s="453" t="str">
        <f t="shared" si="125"/>
        <v>Y</v>
      </c>
      <c r="BR6" s="453" t="str">
        <f t="shared" si="126"/>
        <v>Y</v>
      </c>
      <c r="BS6" s="453" t="str">
        <f t="shared" si="127"/>
        <v/>
      </c>
      <c r="BT6" s="453" t="str">
        <f t="shared" si="128"/>
        <v>Y</v>
      </c>
      <c r="BU6" s="453" t="str">
        <f t="shared" si="129"/>
        <v>Y</v>
      </c>
      <c r="BV6" s="453" t="str">
        <f t="shared" si="130"/>
        <v>Y</v>
      </c>
      <c r="BW6" s="454" t="str">
        <f t="shared" si="131"/>
        <v>Y</v>
      </c>
      <c r="BX6" s="379" t="str" cm="1">
        <f t="array" ref="BX6">IF(INDEX(campsByItinerary,numericItinerary($A6),BD$3-1)="","",VLOOKUP(INDEX(campsByItinerary,numericItinerary($A6),BD$3-1),campInfo,10))</f>
        <v/>
      </c>
      <c r="BY6" s="464" t="str" cm="1">
        <f t="array" ref="BY6">IF(INDEX(campsByItinerary,numericItinerary($A6),BE$3-1)="","",VLOOKUP(INDEX(campsByItinerary,numericItinerary($A6),BE$3-1),campInfo,10))</f>
        <v>Y</v>
      </c>
      <c r="BZ6" s="464" t="str" cm="1">
        <f t="array" ref="BZ6">IF(INDEX(campsByItinerary,numericItinerary($A6),BF$3-1)="","",VLOOKUP(INDEX(campsByItinerary,numericItinerary($A6),BF$3-1),campInfo,10))</f>
        <v/>
      </c>
      <c r="CA6" s="464" t="str" cm="1">
        <f t="array" ref="CA6">IF(INDEX(campsByItinerary,numericItinerary($A6),BG$3-1)="","",VLOOKUP(INDEX(campsByItinerary,numericItinerary($A6),BG$3-1),campInfo,10))</f>
        <v/>
      </c>
      <c r="CB6" s="464" t="str" cm="1">
        <f t="array" ref="CB6">IF(INDEX(campsByItinerary,numericItinerary($A6),BH$3-1)="","",VLOOKUP(INDEX(campsByItinerary,numericItinerary($A6),BH$3-1),campInfo,10))</f>
        <v>Y</v>
      </c>
      <c r="CC6" s="464" t="str" cm="1">
        <f t="array" ref="CC6">IF(INDEX(campsByItinerary,numericItinerary($A6),BI$3-1)="","",VLOOKUP(INDEX(campsByItinerary,numericItinerary($A6),BI$3-1),campInfo,10))</f>
        <v/>
      </c>
      <c r="CD6" s="464" t="str" cm="1">
        <f t="array" ref="CD6">IF(INDEX(campsByItinerary,numericItinerary($A6),BJ$3-1)="","",VLOOKUP(INDEX(campsByItinerary,numericItinerary($A6),BJ$3-1),campInfo,10))</f>
        <v>Y</v>
      </c>
      <c r="CE6" s="464" t="str" cm="1">
        <f t="array" ref="CE6">IF(INDEX(campsByItinerary,numericItinerary($A6),BK$3-1)="","",VLOOKUP(INDEX(campsByItinerary,numericItinerary($A6),BK$3-1),campInfo,10))</f>
        <v/>
      </c>
      <c r="CF6" s="464" t="str" cm="1">
        <f t="array" ref="CF6">IF(INDEX(campsByItinerary,numericItinerary($A6),BL$3-1)="","",VLOOKUP(INDEX(campsByItinerary,numericItinerary($A6),BL$3-1),campInfo,10))</f>
        <v/>
      </c>
      <c r="CG6" s="465" t="str" cm="1">
        <f t="array" ref="CG6">IF(INDEX(campsByItinerary,numericItinerary($A6),BM$3-1)="","",VLOOKUP(INDEX(campsByItinerary,numericItinerary($A6),BM$3-1),campInfo,10))</f>
        <v/>
      </c>
      <c r="CH6" s="502"/>
      <c r="CI6" s="503" t="str">
        <f t="shared" si="102"/>
        <v/>
      </c>
      <c r="CJ6" s="503" t="str">
        <f t="shared" si="103"/>
        <v/>
      </c>
      <c r="CK6" s="503" t="str">
        <f t="shared" si="104"/>
        <v/>
      </c>
      <c r="CL6" s="503" t="str">
        <f t="shared" si="105"/>
        <v/>
      </c>
      <c r="CM6" s="503" t="str">
        <f t="shared" si="106"/>
        <v/>
      </c>
      <c r="CN6" s="503" t="str">
        <f t="shared" si="107"/>
        <v/>
      </c>
      <c r="CO6" s="503" t="str">
        <f t="shared" si="108"/>
        <v/>
      </c>
      <c r="CP6" s="503" t="str">
        <f t="shared" si="109"/>
        <v>Y</v>
      </c>
      <c r="CQ6" s="504" t="str">
        <f t="shared" si="110"/>
        <v>Y</v>
      </c>
      <c r="CR6" s="474" t="str" cm="1">
        <f t="array" ref="CR6">INDEX(campsByItinerary,numericItinerary($A6),BD$3-1)</f>
        <v>Lovers Leap</v>
      </c>
      <c r="CS6" s="475" t="str" cm="1">
        <f t="array" ref="CS6">IF(INDEX(campsByItinerary,numericItinerary($A6),BE$3-1)="","",VLOOKUP(INDEX(campsByItinerary,numericItinerary($A6),BE$3-1),campInfo,2))</f>
        <v>Central</v>
      </c>
      <c r="CT6" s="475" t="str" cm="1">
        <f t="array" ref="CT6">IF(INDEX(campsByItinerary,numericItinerary($A6),BF$3-1)="","",VLOOKUP(INDEX(campsByItinerary,numericItinerary($A6),BF$3-1),campInfo,2))</f>
        <v>Central</v>
      </c>
      <c r="CU6" s="475" t="str" cm="1">
        <f t="array" ref="CU6">IF(INDEX(campsByItinerary,numericItinerary($A6),BG$3-1)="","",VLOOKUP(INDEX(campsByItinerary,numericItinerary($A6),BG$3-1),campInfo,2))</f>
        <v>Central</v>
      </c>
      <c r="CV6" s="475" t="str" cm="1">
        <f t="array" ref="CV6">IF(INDEX(campsByItinerary,numericItinerary($A6),BH$3-1)="","",VLOOKUP(INDEX(campsByItinerary,numericItinerary($A6),BH$3-1),campInfo,2))</f>
        <v>Central</v>
      </c>
      <c r="CW6" s="475" t="str" cm="1">
        <f t="array" ref="CW6">IF(INDEX(campsByItinerary,numericItinerary($A6),BI$3-1)="","",VLOOKUP(INDEX(campsByItinerary,numericItinerary($A6),BI$3-1),campInfo,2))</f>
        <v>Central</v>
      </c>
      <c r="CX6" s="475" t="str" cm="1">
        <f t="array" ref="CX6">IF(INDEX(campsByItinerary,numericItinerary($A6),BJ$3-1)="","",VLOOKUP(INDEX(campsByItinerary,numericItinerary($A6),BJ$3-1),campInfo,2))</f>
        <v>Central</v>
      </c>
      <c r="CY6" s="475" t="str" cm="1">
        <f t="array" ref="CY6">IF(INDEX(campsByItinerary,numericItinerary($A6),BK$3-1)="","",VLOOKUP(INDEX(campsByItinerary,numericItinerary($A6),BK$3-1),campInfo,2))</f>
        <v/>
      </c>
      <c r="CZ6" s="475" t="str" cm="1">
        <f t="array" ref="CZ6">IF(INDEX(campsByItinerary,numericItinerary($A6),BL$3-1)="","",VLOOKUP(INDEX(campsByItinerary,numericItinerary($A6),BL$3-1),campInfo,2))</f>
        <v/>
      </c>
      <c r="DA6" s="476" t="str" cm="1">
        <f t="array" ref="DA6">IF(INDEX(campsByItinerary,numericItinerary($A6),BM$3-1)="","",VLOOKUP(INDEX(campsByItinerary,numericItinerary($A6),BM$3-1),campInfo,2))</f>
        <v/>
      </c>
      <c r="DB6" s="483" t="str" cm="1">
        <f t="array" ref="DB6">IF(INDEX(campsByItinerary,numericItinerary($A6),BD$3-1)="","",VLOOKUP(INDEX(campsByItinerary,numericItinerary($A6),BD$3-1),campInfo,12))</f>
        <v>South</v>
      </c>
      <c r="DC6" s="484" t="str" cm="1">
        <f t="array" ref="DC6">IF(INDEX(campsByItinerary,numericItinerary($A6),BE$3-1)="","",VLOOKUP(INDEX(campsByItinerary,numericItinerary($A6),BE$3-1),campInfo,12))</f>
        <v>South</v>
      </c>
      <c r="DD6" s="484" t="str" cm="1">
        <f t="array" ref="DD6">IF(INDEX(campsByItinerary,numericItinerary($A6),BF$3-1)="","",VLOOKUP(INDEX(campsByItinerary,numericItinerary($A6),BF$3-1),campInfo,12))</f>
        <v>South</v>
      </c>
      <c r="DE6" s="484" t="str" cm="1">
        <f t="array" ref="DE6">IF(INDEX(campsByItinerary,numericItinerary($A6),BG$3-1)="","",VLOOKUP(INDEX(campsByItinerary,numericItinerary($A6),BG$3-1),campInfo,12))</f>
        <v>South</v>
      </c>
      <c r="DF6" s="484" t="str" cm="1">
        <f t="array" ref="DF6">IF(INDEX(campsByItinerary,numericItinerary($A6),BH$3-1)="","",VLOOKUP(INDEX(campsByItinerary,numericItinerary($A6),BH$3-1),campInfo,12))</f>
        <v>South</v>
      </c>
      <c r="DG6" s="484" t="str" cm="1">
        <f t="array" ref="DG6">IF(INDEX(campsByItinerary,numericItinerary($A6),BI$3-1)="","",VLOOKUP(INDEX(campsByItinerary,numericItinerary($A6),BI$3-1),campInfo,12))</f>
        <v>South</v>
      </c>
      <c r="DH6" s="484" t="str" cm="1">
        <f t="array" ref="DH6">IF(INDEX(campsByItinerary,numericItinerary($A6),BJ$3-1)="","",VLOOKUP(INDEX(campsByItinerary,numericItinerary($A6),BJ$3-1),campInfo,12))</f>
        <v>South</v>
      </c>
      <c r="DI6" s="484" t="str" cm="1">
        <f t="array" ref="DI6">IF(INDEX(campsByItinerary,numericItinerary($A6),BK$3-1)="","",VLOOKUP(INDEX(campsByItinerary,numericItinerary($A6),BK$3-1),campInfo,12))</f>
        <v/>
      </c>
      <c r="DJ6" s="484" t="str" cm="1">
        <f t="array" ref="DJ6">IF(INDEX(campsByItinerary,numericItinerary($A6),BL$3-1)="","",VLOOKUP(INDEX(campsByItinerary,numericItinerary($A6),BL$3-1),campInfo,12))</f>
        <v/>
      </c>
      <c r="DK6" s="485" t="str" cm="1">
        <f t="array" ref="DK6">IF(INDEX(campsByItinerary,numericItinerary($A6),BM$3-1)="","",VLOOKUP(INDEX(campsByItinerary,numericItinerary($A6),BM$3-1),campInfo,12))</f>
        <v/>
      </c>
      <c r="DL6" s="410" cm="1">
        <f t="array" ref="DL6">getfoodPU("First",numericItinerary($A6))</f>
        <v>1</v>
      </c>
      <c r="DM6" s="411" cm="1">
        <f t="array" ref="DM6">getfoodPU("Max",numericItinerary($A6))</f>
        <v>5</v>
      </c>
    </row>
    <row r="7" spans="1:117" ht="15" customHeight="1" x14ac:dyDescent="0.25">
      <c r="A7" s="700" t="str">
        <f t="shared" si="111"/>
        <v>9-4</v>
      </c>
      <c r="B7" s="859"/>
      <c r="C7" s="860" t="s">
        <v>9</v>
      </c>
      <c r="D7" s="861">
        <v>42</v>
      </c>
      <c r="E7" s="862" t="s">
        <v>128</v>
      </c>
      <c r="F7" s="863" t="s">
        <v>76</v>
      </c>
      <c r="G7" s="863" t="s">
        <v>63</v>
      </c>
      <c r="H7" s="863" t="s">
        <v>95</v>
      </c>
      <c r="I7" s="863" t="s">
        <v>99</v>
      </c>
      <c r="J7" s="863" t="s">
        <v>66</v>
      </c>
      <c r="K7" s="863" t="s">
        <v>103</v>
      </c>
      <c r="L7" s="863"/>
      <c r="M7" s="863"/>
      <c r="N7" s="864"/>
      <c r="O7" s="898" t="s">
        <v>367</v>
      </c>
      <c r="P7" s="865"/>
      <c r="Q7" s="865"/>
      <c r="R7" s="865" t="s">
        <v>44</v>
      </c>
      <c r="S7" s="865"/>
      <c r="T7" s="865"/>
      <c r="U7" s="865"/>
      <c r="V7" s="865"/>
      <c r="W7" s="865"/>
      <c r="X7" s="866"/>
      <c r="Y7" s="857" t="s">
        <v>116</v>
      </c>
      <c r="Z7" s="858" t="s">
        <v>350</v>
      </c>
      <c r="AA7" s="1047" t="str">
        <f t="shared" si="112"/>
        <v>y</v>
      </c>
      <c r="AB7" s="888"/>
      <c r="AC7" s="889"/>
      <c r="AD7" s="890"/>
      <c r="AE7" s="1033" t="str">
        <f>IF(ItineraryPrograms!AD6="y","y","")</f>
        <v/>
      </c>
      <c r="AF7" s="1038" t="str">
        <f>IF(ItineraryPrograms!AE6="y","y","")</f>
        <v/>
      </c>
      <c r="AG7" s="1039" t="str">
        <f>IF(ItineraryPrograms!AF6="y","y","")</f>
        <v/>
      </c>
      <c r="AH7" s="956" t="s">
        <v>8</v>
      </c>
      <c r="AI7" s="1050" t="str" cm="1">
        <f t="array" ref="AI7">checkTooth(AA7,LOWER(ItineraryPrograms!AH6))</f>
        <v>y</v>
      </c>
      <c r="AJ7" s="956" t="s">
        <v>8</v>
      </c>
      <c r="AK7" s="419">
        <f t="shared" si="90"/>
        <v>7217</v>
      </c>
      <c r="AL7" s="420">
        <f t="shared" si="91"/>
        <v>8398</v>
      </c>
      <c r="AM7" s="420">
        <f t="shared" si="92"/>
        <v>9330</v>
      </c>
      <c r="AN7" s="420">
        <f t="shared" si="93"/>
        <v>9152</v>
      </c>
      <c r="AO7" s="420">
        <f t="shared" si="94"/>
        <v>10280</v>
      </c>
      <c r="AP7" s="420">
        <f t="shared" si="95"/>
        <v>8991</v>
      </c>
      <c r="AQ7" s="420">
        <f t="shared" si="96"/>
        <v>8724</v>
      </c>
      <c r="AR7" s="420" t="str">
        <f t="shared" si="97"/>
        <v/>
      </c>
      <c r="AS7" s="420" t="str">
        <f t="shared" si="98"/>
        <v/>
      </c>
      <c r="AT7" s="421" t="str">
        <f t="shared" si="99"/>
        <v/>
      </c>
      <c r="AU7" s="428">
        <f t="shared" si="113"/>
        <v>1181</v>
      </c>
      <c r="AV7" s="429">
        <f t="shared" si="114"/>
        <v>932</v>
      </c>
      <c r="AW7" s="429">
        <f t="shared" si="115"/>
        <v>178</v>
      </c>
      <c r="AX7" s="429">
        <f t="shared" si="116"/>
        <v>1128</v>
      </c>
      <c r="AY7" s="429">
        <f t="shared" si="117"/>
        <v>1289</v>
      </c>
      <c r="AZ7" s="429">
        <f t="shared" si="118"/>
        <v>267</v>
      </c>
      <c r="BA7" s="429" t="str">
        <f t="shared" si="119"/>
        <v/>
      </c>
      <c r="BB7" s="429" t="str">
        <f t="shared" si="120"/>
        <v/>
      </c>
      <c r="BC7" s="430" t="str">
        <f t="shared" si="121"/>
        <v/>
      </c>
      <c r="BD7" s="440" t="str" cm="1">
        <f t="array" ref="BD7">IF(INDEX(campsByItinerary,numericItinerary($A7),BD$3-1)="","",VLOOKUP(INDEX(campsByItinerary,numericItinerary($A7),BD$3-1),campInfo,8))</f>
        <v>Y</v>
      </c>
      <c r="BE7" s="441" t="str" cm="1">
        <f t="array" ref="BE7">IF(INDEX(campsByItinerary,numericItinerary($A7),BE$3-1)="","",VLOOKUP(INDEX(campsByItinerary,numericItinerary($A7),BE$3-1),campInfo,8))</f>
        <v>Y</v>
      </c>
      <c r="BF7" s="441" t="str" cm="1">
        <f t="array" ref="BF7">IF(INDEX(campsByItinerary,numericItinerary($A7),BF$3-1)="","",VLOOKUP(INDEX(campsByItinerary,numericItinerary($A7),BF$3-1),campInfo,8))</f>
        <v>Y</v>
      </c>
      <c r="BG7" s="441" t="str" cm="1">
        <f t="array" ref="BG7">IF(INDEX(campsByItinerary,numericItinerary($A7),BG$3-1)="","",VLOOKUP(INDEX(campsByItinerary,numericItinerary($A7),BG$3-1),campInfo,8))</f>
        <v/>
      </c>
      <c r="BH7" s="441" t="str" cm="1">
        <f t="array" ref="BH7">IF(INDEX(campsByItinerary,numericItinerary($A7),BH$3-1)="","",VLOOKUP(INDEX(campsByItinerary,numericItinerary($A7),BH$3-1),campInfo,8))</f>
        <v/>
      </c>
      <c r="BI7" s="441" t="str" cm="1">
        <f t="array" ref="BI7">IF(INDEX(campsByItinerary,numericItinerary($A7),BI$3-1)="","",VLOOKUP(INDEX(campsByItinerary,numericItinerary($A7),BI$3-1),campInfo,8))</f>
        <v>Y</v>
      </c>
      <c r="BJ7" s="441" t="str" cm="1">
        <f t="array" ref="BJ7">IF(INDEX(campsByItinerary,numericItinerary($A7),BJ$3-1)="","",VLOOKUP(INDEX(campsByItinerary,numericItinerary($A7),BJ$3-1),campInfo,8))</f>
        <v/>
      </c>
      <c r="BK7" s="441" t="str" cm="1">
        <f t="array" ref="BK7">IF(INDEX(campsByItinerary,numericItinerary($A7),BK$3-1)="","",VLOOKUP(INDEX(campsByItinerary,numericItinerary($A7),BK$3-1),campInfo,8))</f>
        <v/>
      </c>
      <c r="BL7" s="441" t="str" cm="1">
        <f t="array" ref="BL7">IF(INDEX(campsByItinerary,numericItinerary($A7),BL$3-1)="","",VLOOKUP(INDEX(campsByItinerary,numericItinerary($A7),BL$3-1),campInfo,8))</f>
        <v/>
      </c>
      <c r="BM7" s="442" t="str" cm="1">
        <f t="array" ref="BM7">IF(INDEX(campsByItinerary,numericItinerary($A7),BM$3-1)="","",VLOOKUP(INDEX(campsByItinerary,numericItinerary($A7),BM$3-1),campInfo,8))</f>
        <v/>
      </c>
      <c r="BN7" s="452" t="str">
        <f t="shared" si="122"/>
        <v/>
      </c>
      <c r="BO7" s="453" t="str">
        <f t="shared" si="123"/>
        <v/>
      </c>
      <c r="BP7" s="453" t="str">
        <f t="shared" si="124"/>
        <v/>
      </c>
      <c r="BQ7" s="453" t="str">
        <f t="shared" si="125"/>
        <v>Y</v>
      </c>
      <c r="BR7" s="453" t="str">
        <f t="shared" si="126"/>
        <v>Y</v>
      </c>
      <c r="BS7" s="453" t="str">
        <f t="shared" si="127"/>
        <v/>
      </c>
      <c r="BT7" s="453" t="str">
        <f t="shared" si="128"/>
        <v>Y</v>
      </c>
      <c r="BU7" s="453" t="str">
        <f t="shared" si="129"/>
        <v>Y</v>
      </c>
      <c r="BV7" s="453" t="str">
        <f t="shared" si="130"/>
        <v>Y</v>
      </c>
      <c r="BW7" s="454" t="str">
        <f t="shared" si="131"/>
        <v>Y</v>
      </c>
      <c r="BX7" s="379" t="str" cm="1">
        <f t="array" ref="BX7">IF(INDEX(campsByItinerary,numericItinerary($A7),BD$3-1)="","",VLOOKUP(INDEX(campsByItinerary,numericItinerary($A7),BD$3-1),campInfo,10))</f>
        <v/>
      </c>
      <c r="BY7" s="464" t="str" cm="1">
        <f t="array" ref="BY7">IF(INDEX(campsByItinerary,numericItinerary($A7),BE$3-1)="","",VLOOKUP(INDEX(campsByItinerary,numericItinerary($A7),BE$3-1),campInfo,10))</f>
        <v/>
      </c>
      <c r="BZ7" s="464" t="str" cm="1">
        <f t="array" ref="BZ7">IF(INDEX(campsByItinerary,numericItinerary($A7),BF$3-1)="","",VLOOKUP(INDEX(campsByItinerary,numericItinerary($A7),BF$3-1),campInfo,10))</f>
        <v/>
      </c>
      <c r="CA7" s="464" t="str" cm="1">
        <f t="array" ref="CA7">IF(INDEX(campsByItinerary,numericItinerary($A7),BG$3-1)="","",VLOOKUP(INDEX(campsByItinerary,numericItinerary($A7),BG$3-1),campInfo,10))</f>
        <v/>
      </c>
      <c r="CB7" s="464" t="str" cm="1">
        <f t="array" ref="CB7">IF(INDEX(campsByItinerary,numericItinerary($A7),BH$3-1)="","",VLOOKUP(INDEX(campsByItinerary,numericItinerary($A7),BH$3-1),campInfo,10))</f>
        <v/>
      </c>
      <c r="CC7" s="464" t="str" cm="1">
        <f t="array" ref="CC7">IF(INDEX(campsByItinerary,numericItinerary($A7),BI$3-1)="","",VLOOKUP(INDEX(campsByItinerary,numericItinerary($A7),BI$3-1),campInfo,10))</f>
        <v/>
      </c>
      <c r="CD7" s="464" t="str" cm="1">
        <f t="array" ref="CD7">IF(INDEX(campsByItinerary,numericItinerary($A7),BJ$3-1)="","",VLOOKUP(INDEX(campsByItinerary,numericItinerary($A7),BJ$3-1),campInfo,10))</f>
        <v>Y</v>
      </c>
      <c r="CE7" s="464" t="str" cm="1">
        <f t="array" ref="CE7">IF(INDEX(campsByItinerary,numericItinerary($A7),BK$3-1)="","",VLOOKUP(INDEX(campsByItinerary,numericItinerary($A7),BK$3-1),campInfo,10))</f>
        <v/>
      </c>
      <c r="CF7" s="464" t="str" cm="1">
        <f t="array" ref="CF7">IF(INDEX(campsByItinerary,numericItinerary($A7),BL$3-1)="","",VLOOKUP(INDEX(campsByItinerary,numericItinerary($A7),BL$3-1),campInfo,10))</f>
        <v/>
      </c>
      <c r="CG7" s="465" t="str" cm="1">
        <f t="array" ref="CG7">IF(INDEX(campsByItinerary,numericItinerary($A7),BM$3-1)="","",VLOOKUP(INDEX(campsByItinerary,numericItinerary($A7),BM$3-1),campInfo,10))</f>
        <v/>
      </c>
      <c r="CH7" s="502"/>
      <c r="CI7" s="503" t="str">
        <f t="shared" si="102"/>
        <v/>
      </c>
      <c r="CJ7" s="503" t="str">
        <f t="shared" si="103"/>
        <v/>
      </c>
      <c r="CK7" s="503" t="str">
        <f t="shared" si="104"/>
        <v/>
      </c>
      <c r="CL7" s="503" t="str">
        <f t="shared" si="105"/>
        <v/>
      </c>
      <c r="CM7" s="503" t="str">
        <f t="shared" si="106"/>
        <v/>
      </c>
      <c r="CN7" s="503" t="str">
        <f t="shared" si="107"/>
        <v/>
      </c>
      <c r="CO7" s="503" t="str">
        <f t="shared" si="108"/>
        <v/>
      </c>
      <c r="CP7" s="503" t="str">
        <f t="shared" si="109"/>
        <v>Y</v>
      </c>
      <c r="CQ7" s="504" t="str">
        <f t="shared" si="110"/>
        <v>Y</v>
      </c>
      <c r="CR7" s="474" t="str" cm="1">
        <f t="array" ref="CR7">INDEX(campsByItinerary,numericItinerary($A7),BD$3-1)</f>
        <v>Abreu</v>
      </c>
      <c r="CS7" s="475" t="str" cm="1">
        <f t="array" ref="CS7">IF(INDEX(campsByItinerary,numericItinerary($A7),BE$3-1)="","",VLOOKUP(INDEX(campsByItinerary,numericItinerary($A7),BE$3-1),campInfo,2))</f>
        <v>South</v>
      </c>
      <c r="CT7" s="475" t="str" cm="1">
        <f t="array" ref="CT7">IF(INDEX(campsByItinerary,numericItinerary($A7),BF$3-1)="","",VLOOKUP(INDEX(campsByItinerary,numericItinerary($A7),BF$3-1),campInfo,2))</f>
        <v>South</v>
      </c>
      <c r="CU7" s="475" t="str" cm="1">
        <f t="array" ref="CU7">IF(INDEX(campsByItinerary,numericItinerary($A7),BG$3-1)="","",VLOOKUP(INDEX(campsByItinerary,numericItinerary($A7),BG$3-1),campInfo,2))</f>
        <v>South</v>
      </c>
      <c r="CV7" s="475" t="str" cm="1">
        <f t="array" ref="CV7">IF(INDEX(campsByItinerary,numericItinerary($A7),BH$3-1)="","",VLOOKUP(INDEX(campsByItinerary,numericItinerary($A7),BH$3-1),campInfo,2))</f>
        <v>South</v>
      </c>
      <c r="CW7" s="475" t="str" cm="1">
        <f t="array" ref="CW7">IF(INDEX(campsByItinerary,numericItinerary($A7),BI$3-1)="","",VLOOKUP(INDEX(campsByItinerary,numericItinerary($A7),BI$3-1),campInfo,2))</f>
        <v>South</v>
      </c>
      <c r="CX7" s="475" t="str" cm="1">
        <f t="array" ref="CX7">IF(INDEX(campsByItinerary,numericItinerary($A7),BJ$3-1)="","",VLOOKUP(INDEX(campsByItinerary,numericItinerary($A7),BJ$3-1),campInfo,2))</f>
        <v>Central</v>
      </c>
      <c r="CY7" s="475" t="str" cm="1">
        <f t="array" ref="CY7">IF(INDEX(campsByItinerary,numericItinerary($A7),BK$3-1)="","",VLOOKUP(INDEX(campsByItinerary,numericItinerary($A7),BK$3-1),campInfo,2))</f>
        <v/>
      </c>
      <c r="CZ7" s="475" t="str" cm="1">
        <f t="array" ref="CZ7">IF(INDEX(campsByItinerary,numericItinerary($A7),BL$3-1)="","",VLOOKUP(INDEX(campsByItinerary,numericItinerary($A7),BL$3-1),campInfo,2))</f>
        <v/>
      </c>
      <c r="DA7" s="476" t="str" cm="1">
        <f t="array" ref="DA7">IF(INDEX(campsByItinerary,numericItinerary($A7),BM$3-1)="","",VLOOKUP(INDEX(campsByItinerary,numericItinerary($A7),BM$3-1),campInfo,2))</f>
        <v/>
      </c>
      <c r="DB7" s="483" t="str" cm="1">
        <f t="array" ref="DB7">IF(INDEX(campsByItinerary,numericItinerary($A7),BD$3-1)="","",VLOOKUP(INDEX(campsByItinerary,numericItinerary($A7),BD$3-1),campInfo,12))</f>
        <v>South</v>
      </c>
      <c r="DC7" s="484" t="str" cm="1">
        <f t="array" ref="DC7">IF(INDEX(campsByItinerary,numericItinerary($A7),BE$3-1)="","",VLOOKUP(INDEX(campsByItinerary,numericItinerary($A7),BE$3-1),campInfo,12))</f>
        <v>South</v>
      </c>
      <c r="DD7" s="484" t="str" cm="1">
        <f t="array" ref="DD7">IF(INDEX(campsByItinerary,numericItinerary($A7),BF$3-1)="","",VLOOKUP(INDEX(campsByItinerary,numericItinerary($A7),BF$3-1),campInfo,12))</f>
        <v>South</v>
      </c>
      <c r="DE7" s="484" t="str" cm="1">
        <f t="array" ref="DE7">IF(INDEX(campsByItinerary,numericItinerary($A7),BG$3-1)="","",VLOOKUP(INDEX(campsByItinerary,numericItinerary($A7),BG$3-1),campInfo,12))</f>
        <v>South</v>
      </c>
      <c r="DF7" s="484" t="str" cm="1">
        <f t="array" ref="DF7">IF(INDEX(campsByItinerary,numericItinerary($A7),BH$3-1)="","",VLOOKUP(INDEX(campsByItinerary,numericItinerary($A7),BH$3-1),campInfo,12))</f>
        <v>South</v>
      </c>
      <c r="DG7" s="484" t="str" cm="1">
        <f t="array" ref="DG7">IF(INDEX(campsByItinerary,numericItinerary($A7),BI$3-1)="","",VLOOKUP(INDEX(campsByItinerary,numericItinerary($A7),BI$3-1),campInfo,12))</f>
        <v>South</v>
      </c>
      <c r="DH7" s="484" t="str" cm="1">
        <f t="array" ref="DH7">IF(INDEX(campsByItinerary,numericItinerary($A7),BJ$3-1)="","",VLOOKUP(INDEX(campsByItinerary,numericItinerary($A7),BJ$3-1),campInfo,12))</f>
        <v>South</v>
      </c>
      <c r="DI7" s="484" t="str" cm="1">
        <f t="array" ref="DI7">IF(INDEX(campsByItinerary,numericItinerary($A7),BK$3-1)="","",VLOOKUP(INDEX(campsByItinerary,numericItinerary($A7),BK$3-1),campInfo,12))</f>
        <v/>
      </c>
      <c r="DJ7" s="484" t="str" cm="1">
        <f t="array" ref="DJ7">IF(INDEX(campsByItinerary,numericItinerary($A7),BL$3-1)="","",VLOOKUP(INDEX(campsByItinerary,numericItinerary($A7),BL$3-1),campInfo,12))</f>
        <v/>
      </c>
      <c r="DK7" s="485" t="str" cm="1">
        <f t="array" ref="DK7">IF(INDEX(campsByItinerary,numericItinerary($A7),BM$3-1)="","",VLOOKUP(INDEX(campsByItinerary,numericItinerary($A7),BM$3-1),campInfo,12))</f>
        <v/>
      </c>
      <c r="DL7" s="410" cm="1">
        <f t="array" ref="DL7">getfoodPU("First",numericItinerary($A7))</f>
        <v>3</v>
      </c>
      <c r="DM7" s="411" cm="1">
        <f t="array" ref="DM7">getfoodPU("Max",numericItinerary($A7))</f>
        <v>3</v>
      </c>
    </row>
    <row r="8" spans="1:117" ht="15" customHeight="1" x14ac:dyDescent="0.25">
      <c r="A8" s="700" t="str">
        <f t="shared" si="111"/>
        <v>9-5</v>
      </c>
      <c r="B8" s="859"/>
      <c r="C8" s="860" t="s">
        <v>9</v>
      </c>
      <c r="D8" s="861">
        <v>36</v>
      </c>
      <c r="E8" s="862" t="s">
        <v>86</v>
      </c>
      <c r="F8" s="863" t="s">
        <v>104</v>
      </c>
      <c r="G8" s="863" t="s">
        <v>83</v>
      </c>
      <c r="H8" s="863" t="s">
        <v>40</v>
      </c>
      <c r="I8" s="863" t="s">
        <v>348</v>
      </c>
      <c r="J8" s="863" t="s">
        <v>348</v>
      </c>
      <c r="K8" s="863" t="s">
        <v>349</v>
      </c>
      <c r="L8" s="863"/>
      <c r="M8" s="863"/>
      <c r="N8" s="864"/>
      <c r="O8" s="898" t="s">
        <v>367</v>
      </c>
      <c r="P8" s="865"/>
      <c r="Q8" s="865" t="s">
        <v>94</v>
      </c>
      <c r="R8" s="865"/>
      <c r="S8" s="865"/>
      <c r="T8" s="865" t="s">
        <v>60</v>
      </c>
      <c r="U8" s="865"/>
      <c r="V8" s="865"/>
      <c r="W8" s="865"/>
      <c r="X8" s="866"/>
      <c r="Y8" s="857" t="s">
        <v>49</v>
      </c>
      <c r="Z8" s="858" t="s">
        <v>206</v>
      </c>
      <c r="AA8" s="1047" t="str">
        <f t="shared" si="112"/>
        <v/>
      </c>
      <c r="AB8" s="888"/>
      <c r="AC8" s="889"/>
      <c r="AD8" s="890"/>
      <c r="AE8" s="1033" t="str">
        <f>IF(ItineraryPrograms!AD7="y","y","")</f>
        <v>y</v>
      </c>
      <c r="AF8" s="1038" t="str">
        <f>IF(ItineraryPrograms!AE7="y","y","")</f>
        <v/>
      </c>
      <c r="AG8" s="1039" t="str">
        <f>IF(ItineraryPrograms!AF7="y","y","")</f>
        <v/>
      </c>
      <c r="AH8" s="956" t="s">
        <v>8</v>
      </c>
      <c r="AI8" s="1050" t="str" cm="1">
        <f t="array" ref="AI8">checkTooth(AA8,LOWER(ItineraryPrograms!AH7))</f>
        <v/>
      </c>
      <c r="AJ8" s="956"/>
      <c r="AK8" s="419">
        <f t="shared" si="90"/>
        <v>6979</v>
      </c>
      <c r="AL8" s="420">
        <f t="shared" si="91"/>
        <v>7382</v>
      </c>
      <c r="AM8" s="420">
        <f t="shared" si="92"/>
        <v>7715</v>
      </c>
      <c r="AN8" s="420">
        <f t="shared" si="93"/>
        <v>8754</v>
      </c>
      <c r="AO8" s="420">
        <f t="shared" si="94"/>
        <v>10750</v>
      </c>
      <c r="AP8" s="420">
        <f t="shared" si="95"/>
        <v>10750</v>
      </c>
      <c r="AQ8" s="420">
        <f t="shared" si="96"/>
        <v>8855</v>
      </c>
      <c r="AR8" s="420" t="str">
        <f t="shared" si="97"/>
        <v/>
      </c>
      <c r="AS8" s="420" t="str">
        <f t="shared" si="98"/>
        <v/>
      </c>
      <c r="AT8" s="421" t="str">
        <f t="shared" si="99"/>
        <v/>
      </c>
      <c r="AU8" s="428">
        <f t="shared" si="113"/>
        <v>403</v>
      </c>
      <c r="AV8" s="429">
        <f t="shared" si="114"/>
        <v>333</v>
      </c>
      <c r="AW8" s="429">
        <f t="shared" si="115"/>
        <v>1039</v>
      </c>
      <c r="AX8" s="429">
        <f t="shared" si="116"/>
        <v>1996</v>
      </c>
      <c r="AY8" s="429">
        <f t="shared" si="117"/>
        <v>0</v>
      </c>
      <c r="AZ8" s="429">
        <f t="shared" si="118"/>
        <v>1895</v>
      </c>
      <c r="BA8" s="429" t="str">
        <f t="shared" si="119"/>
        <v/>
      </c>
      <c r="BB8" s="429" t="str">
        <f t="shared" si="120"/>
        <v/>
      </c>
      <c r="BC8" s="430" t="str">
        <f t="shared" si="121"/>
        <v/>
      </c>
      <c r="BD8" s="440" t="str" cm="1">
        <f t="array" ref="BD8">IF(INDEX(campsByItinerary,numericItinerary($A8),BD$3-1)="","",VLOOKUP(INDEX(campsByItinerary,numericItinerary($A8),BD$3-1),campInfo,8))</f>
        <v>Y</v>
      </c>
      <c r="BE8" s="441" t="str" cm="1">
        <f t="array" ref="BE8">IF(INDEX(campsByItinerary,numericItinerary($A8),BE$3-1)="","",VLOOKUP(INDEX(campsByItinerary,numericItinerary($A8),BE$3-1),campInfo,8))</f>
        <v/>
      </c>
      <c r="BF8" s="441" t="str" cm="1">
        <f t="array" ref="BF8">IF(INDEX(campsByItinerary,numericItinerary($A8),BF$3-1)="","",VLOOKUP(INDEX(campsByItinerary,numericItinerary($A8),BF$3-1),campInfo,8))</f>
        <v/>
      </c>
      <c r="BG8" s="441" t="str" cm="1">
        <f t="array" ref="BG8">IF(INDEX(campsByItinerary,numericItinerary($A8),BG$3-1)="","",VLOOKUP(INDEX(campsByItinerary,numericItinerary($A8),BG$3-1),campInfo,8))</f>
        <v>Y</v>
      </c>
      <c r="BH8" s="441" t="str" cm="1">
        <f t="array" ref="BH8">IF(INDEX(campsByItinerary,numericItinerary($A8),BH$3-1)="","",VLOOKUP(INDEX(campsByItinerary,numericItinerary($A8),BH$3-1),campInfo,8))</f>
        <v/>
      </c>
      <c r="BI8" s="441" t="str" cm="1">
        <f t="array" ref="BI8">IF(INDEX(campsByItinerary,numericItinerary($A8),BI$3-1)="","",VLOOKUP(INDEX(campsByItinerary,numericItinerary($A8),BI$3-1),campInfo,8))</f>
        <v/>
      </c>
      <c r="BJ8" s="441" t="str" cm="1">
        <f t="array" ref="BJ8">IF(INDEX(campsByItinerary,numericItinerary($A8),BJ$3-1)="","",VLOOKUP(INDEX(campsByItinerary,numericItinerary($A8),BJ$3-1),campInfo,8))</f>
        <v/>
      </c>
      <c r="BK8" s="441" t="str" cm="1">
        <f t="array" ref="BK8">IF(INDEX(campsByItinerary,numericItinerary($A8),BK$3-1)="","",VLOOKUP(INDEX(campsByItinerary,numericItinerary($A8),BK$3-1),campInfo,8))</f>
        <v/>
      </c>
      <c r="BL8" s="441" t="str" cm="1">
        <f t="array" ref="BL8">IF(INDEX(campsByItinerary,numericItinerary($A8),BL$3-1)="","",VLOOKUP(INDEX(campsByItinerary,numericItinerary($A8),BL$3-1),campInfo,8))</f>
        <v/>
      </c>
      <c r="BM8" s="442" t="str" cm="1">
        <f t="array" ref="BM8">IF(INDEX(campsByItinerary,numericItinerary($A8),BM$3-1)="","",VLOOKUP(INDEX(campsByItinerary,numericItinerary($A8),BM$3-1),campInfo,8))</f>
        <v/>
      </c>
      <c r="BN8" s="452" t="str">
        <f t="shared" si="122"/>
        <v/>
      </c>
      <c r="BO8" s="453" t="str">
        <f t="shared" si="123"/>
        <v>Y</v>
      </c>
      <c r="BP8" s="453" t="str">
        <f t="shared" si="124"/>
        <v>Y</v>
      </c>
      <c r="BQ8" s="453" t="str">
        <f t="shared" si="125"/>
        <v/>
      </c>
      <c r="BR8" s="453" t="str">
        <f t="shared" si="126"/>
        <v>Y</v>
      </c>
      <c r="BS8" s="453" t="str">
        <f t="shared" si="127"/>
        <v>Y</v>
      </c>
      <c r="BT8" s="453" t="str">
        <f t="shared" si="128"/>
        <v>Y</v>
      </c>
      <c r="BU8" s="453" t="str">
        <f t="shared" si="129"/>
        <v>Y</v>
      </c>
      <c r="BV8" s="453" t="str">
        <f t="shared" si="130"/>
        <v>Y</v>
      </c>
      <c r="BW8" s="454" t="str">
        <f t="shared" si="131"/>
        <v>Y</v>
      </c>
      <c r="BX8" s="379" t="str" cm="1">
        <f t="array" ref="BX8">IF(INDEX(campsByItinerary,numericItinerary($A8),BD$3-1)="","",VLOOKUP(INDEX(campsByItinerary,numericItinerary($A8),BD$3-1),campInfo,10))</f>
        <v/>
      </c>
      <c r="BY8" s="464" t="str" cm="1">
        <f t="array" ref="BY8">IF(INDEX(campsByItinerary,numericItinerary($A8),BE$3-1)="","",VLOOKUP(INDEX(campsByItinerary,numericItinerary($A8),BE$3-1),campInfo,10))</f>
        <v/>
      </c>
      <c r="BZ8" s="464" t="str" cm="1">
        <f t="array" ref="BZ8">IF(INDEX(campsByItinerary,numericItinerary($A8),BF$3-1)="","",VLOOKUP(INDEX(campsByItinerary,numericItinerary($A8),BF$3-1),campInfo,10))</f>
        <v/>
      </c>
      <c r="CA8" s="464" t="str" cm="1">
        <f t="array" ref="CA8">IF(INDEX(campsByItinerary,numericItinerary($A8),BG$3-1)="","",VLOOKUP(INDEX(campsByItinerary,numericItinerary($A8),BG$3-1),campInfo,10))</f>
        <v/>
      </c>
      <c r="CB8" s="464" t="str" cm="1">
        <f t="array" ref="CB8">IF(INDEX(campsByItinerary,numericItinerary($A8),BH$3-1)="","",VLOOKUP(INDEX(campsByItinerary,numericItinerary($A8),BH$3-1),campInfo,10))</f>
        <v>Y</v>
      </c>
      <c r="CC8" s="464" t="str" cm="1">
        <f t="array" ref="CC8">IF(INDEX(campsByItinerary,numericItinerary($A8),BI$3-1)="","",VLOOKUP(INDEX(campsByItinerary,numericItinerary($A8),BI$3-1),campInfo,10))</f>
        <v>Y</v>
      </c>
      <c r="CD8" s="464" t="str" cm="1">
        <f t="array" ref="CD8">IF(INDEX(campsByItinerary,numericItinerary($A8),BJ$3-1)="","",VLOOKUP(INDEX(campsByItinerary,numericItinerary($A8),BJ$3-1),campInfo,10))</f>
        <v/>
      </c>
      <c r="CE8" s="464" t="str" cm="1">
        <f t="array" ref="CE8">IF(INDEX(campsByItinerary,numericItinerary($A8),BK$3-1)="","",VLOOKUP(INDEX(campsByItinerary,numericItinerary($A8),BK$3-1),campInfo,10))</f>
        <v/>
      </c>
      <c r="CF8" s="464" t="str" cm="1">
        <f t="array" ref="CF8">IF(INDEX(campsByItinerary,numericItinerary($A8),BL$3-1)="","",VLOOKUP(INDEX(campsByItinerary,numericItinerary($A8),BL$3-1),campInfo,10))</f>
        <v/>
      </c>
      <c r="CG8" s="465" t="str" cm="1">
        <f t="array" ref="CG8">IF(INDEX(campsByItinerary,numericItinerary($A8),BM$3-1)="","",VLOOKUP(INDEX(campsByItinerary,numericItinerary($A8),BM$3-1),campInfo,10))</f>
        <v/>
      </c>
      <c r="CH8" s="502"/>
      <c r="CI8" s="503" t="str">
        <f t="shared" si="102"/>
        <v/>
      </c>
      <c r="CJ8" s="503" t="str">
        <f t="shared" si="103"/>
        <v/>
      </c>
      <c r="CK8" s="503" t="str">
        <f t="shared" si="104"/>
        <v/>
      </c>
      <c r="CL8" s="503" t="str">
        <f t="shared" si="105"/>
        <v/>
      </c>
      <c r="CM8" s="503" t="str">
        <f t="shared" si="106"/>
        <v>Y</v>
      </c>
      <c r="CN8" s="503" t="str">
        <f t="shared" si="107"/>
        <v/>
      </c>
      <c r="CO8" s="503" t="str">
        <f t="shared" si="108"/>
        <v/>
      </c>
      <c r="CP8" s="503" t="str">
        <f t="shared" si="109"/>
        <v>Y</v>
      </c>
      <c r="CQ8" s="504" t="str">
        <f t="shared" si="110"/>
        <v>Y</v>
      </c>
      <c r="CR8" s="474" t="str" cm="1">
        <f t="array" ref="CR8">INDEX(campsByItinerary,numericItinerary($A8),BD$3-1)</f>
        <v>Indian Writings</v>
      </c>
      <c r="CS8" s="475" t="str" cm="1">
        <f t="array" ref="CS8">IF(INDEX(campsByItinerary,numericItinerary($A8),BE$3-1)="","",VLOOKUP(INDEX(campsByItinerary,numericItinerary($A8),BE$3-1),campInfo,2))</f>
        <v>North</v>
      </c>
      <c r="CT8" s="475" t="str" cm="1">
        <f t="array" ref="CT8">IF(INDEX(campsByItinerary,numericItinerary($A8),BF$3-1)="","",VLOOKUP(INDEX(campsByItinerary,numericItinerary($A8),BF$3-1),campInfo,2))</f>
        <v>North</v>
      </c>
      <c r="CU8" s="475" t="str" cm="1">
        <f t="array" ref="CU8">IF(INDEX(campsByItinerary,numericItinerary($A8),BG$3-1)="","",VLOOKUP(INDEX(campsByItinerary,numericItinerary($A8),BG$3-1),campInfo,2))</f>
        <v>North</v>
      </c>
      <c r="CV8" s="475" t="str" cm="1">
        <f t="array" ref="CV8">IF(INDEX(campsByItinerary,numericItinerary($A8),BH$3-1)="","",VLOOKUP(INDEX(campsByItinerary,numericItinerary($A8),BH$3-1),campInfo,2))</f>
        <v>North</v>
      </c>
      <c r="CW8" s="475" t="str" cm="1">
        <f t="array" ref="CW8">IF(INDEX(campsByItinerary,numericItinerary($A8),BI$3-1)="","",VLOOKUP(INDEX(campsByItinerary,numericItinerary($A8),BI$3-1),campInfo,2))</f>
        <v>North</v>
      </c>
      <c r="CX8" s="475" t="str" cm="1">
        <f t="array" ref="CX8">IF(INDEX(campsByItinerary,numericItinerary($A8),BJ$3-1)="","",VLOOKUP(INDEX(campsByItinerary,numericItinerary($A8),BJ$3-1),campInfo,2))</f>
        <v>North</v>
      </c>
      <c r="CY8" s="475" t="str" cm="1">
        <f t="array" ref="CY8">IF(INDEX(campsByItinerary,numericItinerary($A8),BK$3-1)="","",VLOOKUP(INDEX(campsByItinerary,numericItinerary($A8),BK$3-1),campInfo,2))</f>
        <v/>
      </c>
      <c r="CZ8" s="475" t="str" cm="1">
        <f t="array" ref="CZ8">IF(INDEX(campsByItinerary,numericItinerary($A8),BL$3-1)="","",VLOOKUP(INDEX(campsByItinerary,numericItinerary($A8),BL$3-1),campInfo,2))</f>
        <v/>
      </c>
      <c r="DA8" s="476" t="str" cm="1">
        <f t="array" ref="DA8">IF(INDEX(campsByItinerary,numericItinerary($A8),BM$3-1)="","",VLOOKUP(INDEX(campsByItinerary,numericItinerary($A8),BM$3-1),campInfo,2))</f>
        <v/>
      </c>
      <c r="DB8" s="483" t="str" cm="1">
        <f t="array" ref="DB8">IF(INDEX(campsByItinerary,numericItinerary($A8),BD$3-1)="","",VLOOKUP(INDEX(campsByItinerary,numericItinerary($A8),BD$3-1),campInfo,12))</f>
        <v>North</v>
      </c>
      <c r="DC8" s="484" t="str" cm="1">
        <f t="array" ref="DC8">IF(INDEX(campsByItinerary,numericItinerary($A8),BE$3-1)="","",VLOOKUP(INDEX(campsByItinerary,numericItinerary($A8),BE$3-1),campInfo,12))</f>
        <v>North</v>
      </c>
      <c r="DD8" s="484" t="str" cm="1">
        <f t="array" ref="DD8">IF(INDEX(campsByItinerary,numericItinerary($A8),BF$3-1)="","",VLOOKUP(INDEX(campsByItinerary,numericItinerary($A8),BF$3-1),campInfo,12))</f>
        <v>North</v>
      </c>
      <c r="DE8" s="484" t="str" cm="1">
        <f t="array" ref="DE8">IF(INDEX(campsByItinerary,numericItinerary($A8),BG$3-1)="","",VLOOKUP(INDEX(campsByItinerary,numericItinerary($A8),BG$3-1),campInfo,12))</f>
        <v>North</v>
      </c>
      <c r="DF8" s="484" t="str" cm="1">
        <f t="array" ref="DF8">IF(INDEX(campsByItinerary,numericItinerary($A8),BH$3-1)="","",VLOOKUP(INDEX(campsByItinerary,numericItinerary($A8),BH$3-1),campInfo,12))</f>
        <v>North</v>
      </c>
      <c r="DG8" s="484" t="str" cm="1">
        <f t="array" ref="DG8">IF(INDEX(campsByItinerary,numericItinerary($A8),BI$3-1)="","",VLOOKUP(INDEX(campsByItinerary,numericItinerary($A8),BI$3-1),campInfo,12))</f>
        <v>North</v>
      </c>
      <c r="DH8" s="484" t="str" cm="1">
        <f t="array" ref="DH8">IF(INDEX(campsByItinerary,numericItinerary($A8),BJ$3-1)="","",VLOOKUP(INDEX(campsByItinerary,numericItinerary($A8),BJ$3-1),campInfo,12))</f>
        <v>North</v>
      </c>
      <c r="DI8" s="484" t="str" cm="1">
        <f t="array" ref="DI8">IF(INDEX(campsByItinerary,numericItinerary($A8),BK$3-1)="","",VLOOKUP(INDEX(campsByItinerary,numericItinerary($A8),BK$3-1),campInfo,12))</f>
        <v/>
      </c>
      <c r="DJ8" s="484" t="str" cm="1">
        <f t="array" ref="DJ8">IF(INDEX(campsByItinerary,numericItinerary($A8),BL$3-1)="","",VLOOKUP(INDEX(campsByItinerary,numericItinerary($A8),BL$3-1),campInfo,12))</f>
        <v/>
      </c>
      <c r="DK8" s="485" t="str" cm="1">
        <f t="array" ref="DK8">IF(INDEX(campsByItinerary,numericItinerary($A8),BM$3-1)="","",VLOOKUP(INDEX(campsByItinerary,numericItinerary($A8),BM$3-1),campInfo,12))</f>
        <v/>
      </c>
      <c r="DL8" s="410" cm="1">
        <f t="array" ref="DL8">getfoodPU("First",numericItinerary($A8))</f>
        <v>2</v>
      </c>
      <c r="DM8" s="411" cm="1">
        <f t="array" ref="DM8">getfoodPU("Max",numericItinerary($A8))</f>
        <v>2</v>
      </c>
    </row>
    <row r="9" spans="1:117" ht="15" customHeight="1" x14ac:dyDescent="0.25">
      <c r="A9" s="700" t="str">
        <f t="shared" si="111"/>
        <v>9-6</v>
      </c>
      <c r="B9" s="859"/>
      <c r="C9" s="860" t="s">
        <v>9</v>
      </c>
      <c r="D9" s="861">
        <v>62</v>
      </c>
      <c r="E9" s="862" t="s">
        <v>86</v>
      </c>
      <c r="F9" s="863" t="s">
        <v>79</v>
      </c>
      <c r="G9" s="863" t="s">
        <v>47</v>
      </c>
      <c r="H9" s="863" t="s">
        <v>131</v>
      </c>
      <c r="I9" s="863" t="s">
        <v>46</v>
      </c>
      <c r="J9" s="863" t="s">
        <v>40</v>
      </c>
      <c r="K9" s="863" t="s">
        <v>411</v>
      </c>
      <c r="L9" s="863"/>
      <c r="M9" s="863"/>
      <c r="N9" s="864"/>
      <c r="O9" s="898" t="s">
        <v>367</v>
      </c>
      <c r="P9" s="865"/>
      <c r="Q9" s="865" t="s">
        <v>47</v>
      </c>
      <c r="R9" s="865"/>
      <c r="S9" s="865" t="s">
        <v>46</v>
      </c>
      <c r="T9" s="865"/>
      <c r="U9" s="865"/>
      <c r="V9" s="865"/>
      <c r="W9" s="865"/>
      <c r="X9" s="866"/>
      <c r="Y9" s="857" t="s">
        <v>49</v>
      </c>
      <c r="Z9" s="858" t="s">
        <v>94</v>
      </c>
      <c r="AA9" s="1047" t="str">
        <f t="shared" si="112"/>
        <v/>
      </c>
      <c r="AB9" s="888"/>
      <c r="AC9" s="889"/>
      <c r="AD9" s="890"/>
      <c r="AE9" s="1033" t="str">
        <f>IF(ItineraryPrograms!AD8="y","y","")</f>
        <v/>
      </c>
      <c r="AF9" s="1038" t="str">
        <f>IF(ItineraryPrograms!AE8="y","y","")</f>
        <v/>
      </c>
      <c r="AG9" s="1039" t="str">
        <f>IF(ItineraryPrograms!AF8="y","y","")</f>
        <v/>
      </c>
      <c r="AH9" s="956" t="s">
        <v>8</v>
      </c>
      <c r="AI9" s="1050" t="str" cm="1">
        <f t="array" ref="AI9">checkTooth(AA9,LOWER(ItineraryPrograms!AH8))</f>
        <v/>
      </c>
      <c r="AJ9" s="956"/>
      <c r="AK9" s="419">
        <f t="shared" si="90"/>
        <v>6979</v>
      </c>
      <c r="AL9" s="420">
        <f t="shared" si="91"/>
        <v>7896</v>
      </c>
      <c r="AM9" s="420">
        <f t="shared" si="92"/>
        <v>8124</v>
      </c>
      <c r="AN9" s="420">
        <f t="shared" si="93"/>
        <v>8571</v>
      </c>
      <c r="AO9" s="420">
        <f t="shared" si="94"/>
        <v>7728</v>
      </c>
      <c r="AP9" s="420">
        <f t="shared" si="95"/>
        <v>8754</v>
      </c>
      <c r="AQ9" s="420">
        <f t="shared" si="96"/>
        <v>7495</v>
      </c>
      <c r="AR9" s="420" t="str">
        <f t="shared" si="97"/>
        <v/>
      </c>
      <c r="AS9" s="420" t="str">
        <f t="shared" si="98"/>
        <v/>
      </c>
      <c r="AT9" s="421" t="str">
        <f t="shared" si="99"/>
        <v/>
      </c>
      <c r="AU9" s="428">
        <f t="shared" si="113"/>
        <v>917</v>
      </c>
      <c r="AV9" s="429">
        <f t="shared" si="114"/>
        <v>228</v>
      </c>
      <c r="AW9" s="429">
        <f t="shared" si="115"/>
        <v>447</v>
      </c>
      <c r="AX9" s="429">
        <f t="shared" si="116"/>
        <v>843</v>
      </c>
      <c r="AY9" s="429">
        <f t="shared" si="117"/>
        <v>1026</v>
      </c>
      <c r="AZ9" s="429">
        <f t="shared" si="118"/>
        <v>1259</v>
      </c>
      <c r="BA9" s="429" t="str">
        <f t="shared" si="119"/>
        <v/>
      </c>
      <c r="BB9" s="429" t="str">
        <f t="shared" si="120"/>
        <v/>
      </c>
      <c r="BC9" s="430" t="str">
        <f t="shared" si="121"/>
        <v/>
      </c>
      <c r="BD9" s="440" t="str" cm="1">
        <f t="array" ref="BD9">IF(INDEX(campsByItinerary,numericItinerary($A9),BD$3-1)="","",VLOOKUP(INDEX(campsByItinerary,numericItinerary($A9),BD$3-1),campInfo,8))</f>
        <v>Y</v>
      </c>
      <c r="BE9" s="441" t="str" cm="1">
        <f t="array" ref="BE9">IF(INDEX(campsByItinerary,numericItinerary($A9),BE$3-1)="","",VLOOKUP(INDEX(campsByItinerary,numericItinerary($A9),BE$3-1),campInfo,8))</f>
        <v>Y</v>
      </c>
      <c r="BF9" s="441" t="str" cm="1">
        <f t="array" ref="BF9">IF(INDEX(campsByItinerary,numericItinerary($A9),BF$3-1)="","",VLOOKUP(INDEX(campsByItinerary,numericItinerary($A9),BF$3-1),campInfo,8))</f>
        <v>Y</v>
      </c>
      <c r="BG9" s="441" t="str" cm="1">
        <f t="array" ref="BG9">IF(INDEX(campsByItinerary,numericItinerary($A9),BG$3-1)="","",VLOOKUP(INDEX(campsByItinerary,numericItinerary($A9),BG$3-1),campInfo,8))</f>
        <v/>
      </c>
      <c r="BH9" s="441" t="str" cm="1">
        <f t="array" ref="BH9">IF(INDEX(campsByItinerary,numericItinerary($A9),BH$3-1)="","",VLOOKUP(INDEX(campsByItinerary,numericItinerary($A9),BH$3-1),campInfo,8))</f>
        <v>Y</v>
      </c>
      <c r="BI9" s="441" t="str" cm="1">
        <f t="array" ref="BI9">IF(INDEX(campsByItinerary,numericItinerary($A9),BI$3-1)="","",VLOOKUP(INDEX(campsByItinerary,numericItinerary($A9),BI$3-1),campInfo,8))</f>
        <v>Y</v>
      </c>
      <c r="BJ9" s="441" t="str" cm="1">
        <f t="array" ref="BJ9">IF(INDEX(campsByItinerary,numericItinerary($A9),BJ$3-1)="","",VLOOKUP(INDEX(campsByItinerary,numericItinerary($A9),BJ$3-1),campInfo,8))</f>
        <v/>
      </c>
      <c r="BK9" s="441" t="str" cm="1">
        <f t="array" ref="BK9">IF(INDEX(campsByItinerary,numericItinerary($A9),BK$3-1)="","",VLOOKUP(INDEX(campsByItinerary,numericItinerary($A9),BK$3-1),campInfo,8))</f>
        <v/>
      </c>
      <c r="BL9" s="441" t="str" cm="1">
        <f t="array" ref="BL9">IF(INDEX(campsByItinerary,numericItinerary($A9),BL$3-1)="","",VLOOKUP(INDEX(campsByItinerary,numericItinerary($A9),BL$3-1),campInfo,8))</f>
        <v/>
      </c>
      <c r="BM9" s="442" t="str" cm="1">
        <f t="array" ref="BM9">IF(INDEX(campsByItinerary,numericItinerary($A9),BM$3-1)="","",VLOOKUP(INDEX(campsByItinerary,numericItinerary($A9),BM$3-1),campInfo,8))</f>
        <v/>
      </c>
      <c r="BN9" s="452" t="str">
        <f t="shared" si="122"/>
        <v/>
      </c>
      <c r="BO9" s="453" t="str">
        <f t="shared" si="123"/>
        <v/>
      </c>
      <c r="BP9" s="453" t="str">
        <f t="shared" si="124"/>
        <v/>
      </c>
      <c r="BQ9" s="453" t="str">
        <f t="shared" si="125"/>
        <v>Y</v>
      </c>
      <c r="BR9" s="453" t="str">
        <f t="shared" si="126"/>
        <v/>
      </c>
      <c r="BS9" s="453" t="str">
        <f t="shared" si="127"/>
        <v/>
      </c>
      <c r="BT9" s="453" t="str">
        <f t="shared" si="128"/>
        <v>Y</v>
      </c>
      <c r="BU9" s="453" t="str">
        <f t="shared" si="129"/>
        <v>Y</v>
      </c>
      <c r="BV9" s="453" t="str">
        <f t="shared" si="130"/>
        <v>Y</v>
      </c>
      <c r="BW9" s="454" t="str">
        <f t="shared" si="131"/>
        <v>Y</v>
      </c>
      <c r="BX9" s="379" t="str" cm="1">
        <f t="array" ref="BX9">IF(INDEX(campsByItinerary,numericItinerary($A9),BD$3-1)="","",VLOOKUP(INDEX(campsByItinerary,numericItinerary($A9),BD$3-1),campInfo,10))</f>
        <v/>
      </c>
      <c r="BY9" s="464" t="str" cm="1">
        <f t="array" ref="BY9">IF(INDEX(campsByItinerary,numericItinerary($A9),BE$3-1)="","",VLOOKUP(INDEX(campsByItinerary,numericItinerary($A9),BE$3-1),campInfo,10))</f>
        <v/>
      </c>
      <c r="BZ9" s="464" t="str" cm="1">
        <f t="array" ref="BZ9">IF(INDEX(campsByItinerary,numericItinerary($A9),BF$3-1)="","",VLOOKUP(INDEX(campsByItinerary,numericItinerary($A9),BF$3-1),campInfo,10))</f>
        <v/>
      </c>
      <c r="CA9" s="464" t="str" cm="1">
        <f t="array" ref="CA9">IF(INDEX(campsByItinerary,numericItinerary($A9),BG$3-1)="","",VLOOKUP(INDEX(campsByItinerary,numericItinerary($A9),BG$3-1),campInfo,10))</f>
        <v/>
      </c>
      <c r="CB9" s="464" t="str" cm="1">
        <f t="array" ref="CB9">IF(INDEX(campsByItinerary,numericItinerary($A9),BH$3-1)="","",VLOOKUP(INDEX(campsByItinerary,numericItinerary($A9),BH$3-1),campInfo,10))</f>
        <v/>
      </c>
      <c r="CC9" s="464" t="str" cm="1">
        <f t="array" ref="CC9">IF(INDEX(campsByItinerary,numericItinerary($A9),BI$3-1)="","",VLOOKUP(INDEX(campsByItinerary,numericItinerary($A9),BI$3-1),campInfo,10))</f>
        <v/>
      </c>
      <c r="CD9" s="464" t="str" cm="1">
        <f t="array" ref="CD9">IF(INDEX(campsByItinerary,numericItinerary($A9),BJ$3-1)="","",VLOOKUP(INDEX(campsByItinerary,numericItinerary($A9),BJ$3-1),campInfo,10))</f>
        <v>Y</v>
      </c>
      <c r="CE9" s="464" t="str" cm="1">
        <f t="array" ref="CE9">IF(INDEX(campsByItinerary,numericItinerary($A9),BK$3-1)="","",VLOOKUP(INDEX(campsByItinerary,numericItinerary($A9),BK$3-1),campInfo,10))</f>
        <v/>
      </c>
      <c r="CF9" s="464" t="str" cm="1">
        <f t="array" ref="CF9">IF(INDEX(campsByItinerary,numericItinerary($A9),BL$3-1)="","",VLOOKUP(INDEX(campsByItinerary,numericItinerary($A9),BL$3-1),campInfo,10))</f>
        <v/>
      </c>
      <c r="CG9" s="465" t="str" cm="1">
        <f t="array" ref="CG9">IF(INDEX(campsByItinerary,numericItinerary($A9),BM$3-1)="","",VLOOKUP(INDEX(campsByItinerary,numericItinerary($A9),BM$3-1),campInfo,10))</f>
        <v/>
      </c>
      <c r="CH9" s="502"/>
      <c r="CI9" s="503" t="str">
        <f t="shared" si="102"/>
        <v/>
      </c>
      <c r="CJ9" s="503" t="str">
        <f t="shared" si="103"/>
        <v/>
      </c>
      <c r="CK9" s="503" t="str">
        <f t="shared" si="104"/>
        <v/>
      </c>
      <c r="CL9" s="503" t="str">
        <f t="shared" si="105"/>
        <v/>
      </c>
      <c r="CM9" s="503" t="str">
        <f t="shared" si="106"/>
        <v/>
      </c>
      <c r="CN9" s="503" t="str">
        <f t="shared" si="107"/>
        <v/>
      </c>
      <c r="CO9" s="503" t="str">
        <f t="shared" si="108"/>
        <v/>
      </c>
      <c r="CP9" s="503" t="str">
        <f t="shared" si="109"/>
        <v>Y</v>
      </c>
      <c r="CQ9" s="504" t="str">
        <f t="shared" si="110"/>
        <v>Y</v>
      </c>
      <c r="CR9" s="474" t="str" cm="1">
        <f t="array" ref="CR9">INDEX(campsByItinerary,numericItinerary($A9),BD$3-1)</f>
        <v>Indian Writings</v>
      </c>
      <c r="CS9" s="475" t="str" cm="1">
        <f t="array" ref="CS9">IF(INDEX(campsByItinerary,numericItinerary($A9),BE$3-1)="","",VLOOKUP(INDEX(campsByItinerary,numericItinerary($A9),BE$3-1),campInfo,2))</f>
        <v>North</v>
      </c>
      <c r="CT9" s="475" t="str" cm="1">
        <f t="array" ref="CT9">IF(INDEX(campsByItinerary,numericItinerary($A9),BF$3-1)="","",VLOOKUP(INDEX(campsByItinerary,numericItinerary($A9),BF$3-1),campInfo,2))</f>
        <v>Valle Vidal</v>
      </c>
      <c r="CU9" s="475" t="str" cm="1">
        <f t="array" ref="CU9">IF(INDEX(campsByItinerary,numericItinerary($A9),BG$3-1)="","",VLOOKUP(INDEX(campsByItinerary,numericItinerary($A9),BG$3-1),campInfo,2))</f>
        <v>Valle Vidal</v>
      </c>
      <c r="CV9" s="475" t="str" cm="1">
        <f t="array" ref="CV9">IF(INDEX(campsByItinerary,numericItinerary($A9),BH$3-1)="","",VLOOKUP(INDEX(campsByItinerary,numericItinerary($A9),BH$3-1),campInfo,2))</f>
        <v>Valle Vidal</v>
      </c>
      <c r="CW9" s="475" t="str" cm="1">
        <f t="array" ref="CW9">IF(INDEX(campsByItinerary,numericItinerary($A9),BI$3-1)="","",VLOOKUP(INDEX(campsByItinerary,numericItinerary($A9),BI$3-1),campInfo,2))</f>
        <v>North</v>
      </c>
      <c r="CX9" s="475" t="str" cm="1">
        <f t="array" ref="CX9">IF(INDEX(campsByItinerary,numericItinerary($A9),BJ$3-1)="","",VLOOKUP(INDEX(campsByItinerary,numericItinerary($A9),BJ$3-1),campInfo,2))</f>
        <v>North</v>
      </c>
      <c r="CY9" s="475" t="str" cm="1">
        <f t="array" ref="CY9">IF(INDEX(campsByItinerary,numericItinerary($A9),BK$3-1)="","",VLOOKUP(INDEX(campsByItinerary,numericItinerary($A9),BK$3-1),campInfo,2))</f>
        <v/>
      </c>
      <c r="CZ9" s="475" t="str" cm="1">
        <f t="array" ref="CZ9">IF(INDEX(campsByItinerary,numericItinerary($A9),BL$3-1)="","",VLOOKUP(INDEX(campsByItinerary,numericItinerary($A9),BL$3-1),campInfo,2))</f>
        <v/>
      </c>
      <c r="DA9" s="476" t="str" cm="1">
        <f t="array" ref="DA9">IF(INDEX(campsByItinerary,numericItinerary($A9),BM$3-1)="","",VLOOKUP(INDEX(campsByItinerary,numericItinerary($A9),BM$3-1),campInfo,2))</f>
        <v/>
      </c>
      <c r="DB9" s="483" t="str" cm="1">
        <f t="array" ref="DB9">IF(INDEX(campsByItinerary,numericItinerary($A9),BD$3-1)="","",VLOOKUP(INDEX(campsByItinerary,numericItinerary($A9),BD$3-1),campInfo,12))</f>
        <v>North</v>
      </c>
      <c r="DC9" s="484" t="str" cm="1">
        <f t="array" ref="DC9">IF(INDEX(campsByItinerary,numericItinerary($A9),BE$3-1)="","",VLOOKUP(INDEX(campsByItinerary,numericItinerary($A9),BE$3-1),campInfo,12))</f>
        <v>North</v>
      </c>
      <c r="DD9" s="484" t="str" cm="1">
        <f t="array" ref="DD9">IF(INDEX(campsByItinerary,numericItinerary($A9),BF$3-1)="","",VLOOKUP(INDEX(campsByItinerary,numericItinerary($A9),BF$3-1),campInfo,12))</f>
        <v>North</v>
      </c>
      <c r="DE9" s="484" t="str" cm="1">
        <f t="array" ref="DE9">IF(INDEX(campsByItinerary,numericItinerary($A9),BG$3-1)="","",VLOOKUP(INDEX(campsByItinerary,numericItinerary($A9),BG$3-1),campInfo,12))</f>
        <v>North</v>
      </c>
      <c r="DF9" s="484" t="str" cm="1">
        <f t="array" ref="DF9">IF(INDEX(campsByItinerary,numericItinerary($A9),BH$3-1)="","",VLOOKUP(INDEX(campsByItinerary,numericItinerary($A9),BH$3-1),campInfo,12))</f>
        <v>North</v>
      </c>
      <c r="DG9" s="484" t="str" cm="1">
        <f t="array" ref="DG9">IF(INDEX(campsByItinerary,numericItinerary($A9),BI$3-1)="","",VLOOKUP(INDEX(campsByItinerary,numericItinerary($A9),BI$3-1),campInfo,12))</f>
        <v>North</v>
      </c>
      <c r="DH9" s="484" t="str" cm="1">
        <f t="array" ref="DH9">IF(INDEX(campsByItinerary,numericItinerary($A9),BJ$3-1)="","",VLOOKUP(INDEX(campsByItinerary,numericItinerary($A9),BJ$3-1),campInfo,12))</f>
        <v>North</v>
      </c>
      <c r="DI9" s="484" t="str" cm="1">
        <f t="array" ref="DI9">IF(INDEX(campsByItinerary,numericItinerary($A9),BK$3-1)="","",VLOOKUP(INDEX(campsByItinerary,numericItinerary($A9),BK$3-1),campInfo,12))</f>
        <v/>
      </c>
      <c r="DJ9" s="484" t="str" cm="1">
        <f t="array" ref="DJ9">IF(INDEX(campsByItinerary,numericItinerary($A9),BL$3-1)="","",VLOOKUP(INDEX(campsByItinerary,numericItinerary($A9),BL$3-1),campInfo,12))</f>
        <v/>
      </c>
      <c r="DK9" s="485" t="str" cm="1">
        <f t="array" ref="DK9">IF(INDEX(campsByItinerary,numericItinerary($A9),BM$3-1)="","",VLOOKUP(INDEX(campsByItinerary,numericItinerary($A9),BM$3-1),campInfo,12))</f>
        <v/>
      </c>
      <c r="DL9" s="410" cm="1">
        <f t="array" ref="DL9">getfoodPU("First",numericItinerary($A9))</f>
        <v>2</v>
      </c>
      <c r="DM9" s="411" cm="1">
        <f t="array" ref="DM9">getfoodPU("Max",numericItinerary($A9))</f>
        <v>2</v>
      </c>
    </row>
    <row r="10" spans="1:117" ht="15" customHeight="1" x14ac:dyDescent="0.25">
      <c r="A10" s="700" t="str">
        <f t="shared" si="111"/>
        <v>9-7</v>
      </c>
      <c r="B10" s="859"/>
      <c r="C10" s="860" t="s">
        <v>14</v>
      </c>
      <c r="D10" s="861">
        <v>42</v>
      </c>
      <c r="E10" s="862" t="s">
        <v>85</v>
      </c>
      <c r="F10" s="863" t="s">
        <v>201</v>
      </c>
      <c r="G10" s="863" t="s">
        <v>71</v>
      </c>
      <c r="H10" s="863" t="s">
        <v>133</v>
      </c>
      <c r="I10" s="863" t="s">
        <v>203</v>
      </c>
      <c r="J10" s="863" t="s">
        <v>102</v>
      </c>
      <c r="K10" s="863" t="s">
        <v>358</v>
      </c>
      <c r="L10" s="863"/>
      <c r="M10" s="863"/>
      <c r="N10" s="864"/>
      <c r="O10" s="898" t="s">
        <v>367</v>
      </c>
      <c r="P10" s="865"/>
      <c r="Q10" s="865" t="s">
        <v>256</v>
      </c>
      <c r="R10" s="865"/>
      <c r="S10" s="865"/>
      <c r="T10" s="865"/>
      <c r="U10" s="865"/>
      <c r="V10" s="865"/>
      <c r="W10" s="865"/>
      <c r="X10" s="866"/>
      <c r="Y10" s="857" t="s">
        <v>334</v>
      </c>
      <c r="Z10" s="858" t="s">
        <v>399</v>
      </c>
      <c r="AA10" s="1047" t="str">
        <f t="shared" si="112"/>
        <v/>
      </c>
      <c r="AB10" s="888"/>
      <c r="AC10" s="888"/>
      <c r="AD10" s="890"/>
      <c r="AE10" s="1033" t="str">
        <f>IF(ItineraryPrograms!AD9="y","y","")</f>
        <v/>
      </c>
      <c r="AF10" s="1038" t="str">
        <f>IF(ItineraryPrograms!AE9="y","y","")</f>
        <v/>
      </c>
      <c r="AG10" s="1039" t="str">
        <f>IF(ItineraryPrograms!AF9="y","y","")</f>
        <v>y</v>
      </c>
      <c r="AH10" s="956" t="s">
        <v>8</v>
      </c>
      <c r="AI10" s="1050" t="str" cm="1">
        <f t="array" ref="AI10">checkTooth(AA10,LOWER(ItineraryPrograms!AH9))</f>
        <v/>
      </c>
      <c r="AJ10" s="956"/>
      <c r="AK10" s="419">
        <f t="shared" si="90"/>
        <v>7550</v>
      </c>
      <c r="AL10" s="420">
        <f t="shared" si="91"/>
        <v>8280</v>
      </c>
      <c r="AM10" s="420">
        <f t="shared" si="92"/>
        <v>8137</v>
      </c>
      <c r="AN10" s="420">
        <f t="shared" si="93"/>
        <v>8957</v>
      </c>
      <c r="AO10" s="420">
        <f t="shared" si="94"/>
        <v>11070</v>
      </c>
      <c r="AP10" s="420">
        <f t="shared" si="95"/>
        <v>9193</v>
      </c>
      <c r="AQ10" s="420">
        <f t="shared" si="96"/>
        <v>7373</v>
      </c>
      <c r="AR10" s="420" t="str">
        <f t="shared" si="97"/>
        <v/>
      </c>
      <c r="AS10" s="420" t="str">
        <f t="shared" si="98"/>
        <v/>
      </c>
      <c r="AT10" s="421" t="str">
        <f t="shared" si="99"/>
        <v/>
      </c>
      <c r="AU10" s="428">
        <f t="shared" si="113"/>
        <v>730</v>
      </c>
      <c r="AV10" s="429">
        <f t="shared" si="114"/>
        <v>143</v>
      </c>
      <c r="AW10" s="429">
        <f t="shared" si="115"/>
        <v>820</v>
      </c>
      <c r="AX10" s="429">
        <f t="shared" si="116"/>
        <v>2113</v>
      </c>
      <c r="AY10" s="429">
        <f t="shared" si="117"/>
        <v>1877</v>
      </c>
      <c r="AZ10" s="429">
        <f t="shared" si="118"/>
        <v>1820</v>
      </c>
      <c r="BA10" s="429" t="str">
        <f t="shared" si="119"/>
        <v/>
      </c>
      <c r="BB10" s="429" t="str">
        <f t="shared" si="120"/>
        <v/>
      </c>
      <c r="BC10" s="430" t="str">
        <f t="shared" si="121"/>
        <v/>
      </c>
      <c r="BD10" s="440" t="str" cm="1">
        <f t="array" ref="BD10">IF(INDEX(campsByItinerary,numericItinerary($A10),BD$3-1)="","",VLOOKUP(INDEX(campsByItinerary,numericItinerary($A10),BD$3-1),campInfo,8))</f>
        <v>Y</v>
      </c>
      <c r="BE10" s="441" t="str" cm="1">
        <f t="array" ref="BE10">IF(INDEX(campsByItinerary,numericItinerary($A10),BE$3-1)="","",VLOOKUP(INDEX(campsByItinerary,numericItinerary($A10),BE$3-1),campInfo,8))</f>
        <v/>
      </c>
      <c r="BF10" s="441" t="str" cm="1">
        <f t="array" ref="BF10">IF(INDEX(campsByItinerary,numericItinerary($A10),BF$3-1)="","",VLOOKUP(INDEX(campsByItinerary,numericItinerary($A10),BF$3-1),campInfo,8))</f>
        <v>Y</v>
      </c>
      <c r="BG10" s="441" t="str" cm="1">
        <f t="array" ref="BG10">IF(INDEX(campsByItinerary,numericItinerary($A10),BG$3-1)="","",VLOOKUP(INDEX(campsByItinerary,numericItinerary($A10),BG$3-1),campInfo,8))</f>
        <v/>
      </c>
      <c r="BH10" s="441" t="str" cm="1">
        <f t="array" ref="BH10">IF(INDEX(campsByItinerary,numericItinerary($A10),BH$3-1)="","",VLOOKUP(INDEX(campsByItinerary,numericItinerary($A10),BH$3-1),campInfo,8))</f>
        <v/>
      </c>
      <c r="BI10" s="441" t="str" cm="1">
        <f t="array" ref="BI10">IF(INDEX(campsByItinerary,numericItinerary($A10),BI$3-1)="","",VLOOKUP(INDEX(campsByItinerary,numericItinerary($A10),BI$3-1),campInfo,8))</f>
        <v>Y</v>
      </c>
      <c r="BJ10" s="441" t="str" cm="1">
        <f t="array" ref="BJ10">IF(INDEX(campsByItinerary,numericItinerary($A10),BJ$3-1)="","",VLOOKUP(INDEX(campsByItinerary,numericItinerary($A10),BJ$3-1),campInfo,8))</f>
        <v>Y</v>
      </c>
      <c r="BK10" s="441" t="str" cm="1">
        <f t="array" ref="BK10">IF(INDEX(campsByItinerary,numericItinerary($A10),BK$3-1)="","",VLOOKUP(INDEX(campsByItinerary,numericItinerary($A10),BK$3-1),campInfo,8))</f>
        <v/>
      </c>
      <c r="BL10" s="441" t="str" cm="1">
        <f t="array" ref="BL10">IF(INDEX(campsByItinerary,numericItinerary($A10),BL$3-1)="","",VLOOKUP(INDEX(campsByItinerary,numericItinerary($A10),BL$3-1),campInfo,8))</f>
        <v/>
      </c>
      <c r="BM10" s="442" t="str" cm="1">
        <f t="array" ref="BM10">IF(INDEX(campsByItinerary,numericItinerary($A10),BM$3-1)="","",VLOOKUP(INDEX(campsByItinerary,numericItinerary($A10),BM$3-1),campInfo,8))</f>
        <v/>
      </c>
      <c r="BN10" s="452" t="str">
        <f t="shared" si="122"/>
        <v/>
      </c>
      <c r="BO10" s="453" t="str">
        <f t="shared" si="123"/>
        <v>Y</v>
      </c>
      <c r="BP10" s="453" t="str">
        <f t="shared" si="124"/>
        <v/>
      </c>
      <c r="BQ10" s="453" t="str">
        <f t="shared" si="125"/>
        <v>Y</v>
      </c>
      <c r="BR10" s="453" t="str">
        <f t="shared" si="126"/>
        <v>Y</v>
      </c>
      <c r="BS10" s="453" t="str">
        <f t="shared" si="127"/>
        <v/>
      </c>
      <c r="BT10" s="453" t="str">
        <f t="shared" si="128"/>
        <v/>
      </c>
      <c r="BU10" s="453" t="str">
        <f t="shared" si="129"/>
        <v>Y</v>
      </c>
      <c r="BV10" s="453" t="str">
        <f t="shared" si="130"/>
        <v>Y</v>
      </c>
      <c r="BW10" s="454" t="str">
        <f t="shared" si="131"/>
        <v>Y</v>
      </c>
      <c r="BX10" s="379" t="str" cm="1">
        <f t="array" ref="BX10">IF(INDEX(campsByItinerary,numericItinerary($A10),BD$3-1)="","",VLOOKUP(INDEX(campsByItinerary,numericItinerary($A10),BD$3-1),campInfo,10))</f>
        <v/>
      </c>
      <c r="BY10" s="464" t="str" cm="1">
        <f t="array" ref="BY10">IF(INDEX(campsByItinerary,numericItinerary($A10),BE$3-1)="","",VLOOKUP(INDEX(campsByItinerary,numericItinerary($A10),BE$3-1),campInfo,10))</f>
        <v/>
      </c>
      <c r="BZ10" s="464" t="str" cm="1">
        <f t="array" ref="BZ10">IF(INDEX(campsByItinerary,numericItinerary($A10),BF$3-1)="","",VLOOKUP(INDEX(campsByItinerary,numericItinerary($A10),BF$3-1),campInfo,10))</f>
        <v/>
      </c>
      <c r="CA10" s="464" t="str" cm="1">
        <f t="array" ref="CA10">IF(INDEX(campsByItinerary,numericItinerary($A10),BG$3-1)="","",VLOOKUP(INDEX(campsByItinerary,numericItinerary($A10),BG$3-1),campInfo,10))</f>
        <v/>
      </c>
      <c r="CB10" s="464" t="str" cm="1">
        <f t="array" ref="CB10">IF(INDEX(campsByItinerary,numericItinerary($A10),BH$3-1)="","",VLOOKUP(INDEX(campsByItinerary,numericItinerary($A10),BH$3-1),campInfo,10))</f>
        <v>Y</v>
      </c>
      <c r="CC10" s="464" t="str" cm="1">
        <f t="array" ref="CC10">IF(INDEX(campsByItinerary,numericItinerary($A10),BI$3-1)="","",VLOOKUP(INDEX(campsByItinerary,numericItinerary($A10),BI$3-1),campInfo,10))</f>
        <v/>
      </c>
      <c r="CD10" s="464" t="str" cm="1">
        <f t="array" ref="CD10">IF(INDEX(campsByItinerary,numericItinerary($A10),BJ$3-1)="","",VLOOKUP(INDEX(campsByItinerary,numericItinerary($A10),BJ$3-1),campInfo,10))</f>
        <v/>
      </c>
      <c r="CE10" s="464" t="str" cm="1">
        <f t="array" ref="CE10">IF(INDEX(campsByItinerary,numericItinerary($A10),BK$3-1)="","",VLOOKUP(INDEX(campsByItinerary,numericItinerary($A10),BK$3-1),campInfo,10))</f>
        <v/>
      </c>
      <c r="CF10" s="464" t="str" cm="1">
        <f t="array" ref="CF10">IF(INDEX(campsByItinerary,numericItinerary($A10),BL$3-1)="","",VLOOKUP(INDEX(campsByItinerary,numericItinerary($A10),BL$3-1),campInfo,10))</f>
        <v/>
      </c>
      <c r="CG10" s="465" t="str" cm="1">
        <f t="array" ref="CG10">IF(INDEX(campsByItinerary,numericItinerary($A10),BM$3-1)="","",VLOOKUP(INDEX(campsByItinerary,numericItinerary($A10),BM$3-1),campInfo,10))</f>
        <v/>
      </c>
      <c r="CH10" s="502"/>
      <c r="CI10" s="503" t="str">
        <f t="shared" si="102"/>
        <v/>
      </c>
      <c r="CJ10" s="503" t="str">
        <f t="shared" si="103"/>
        <v/>
      </c>
      <c r="CK10" s="503" t="str">
        <f t="shared" si="104"/>
        <v/>
      </c>
      <c r="CL10" s="503" t="str">
        <f t="shared" si="105"/>
        <v/>
      </c>
      <c r="CM10" s="503" t="str">
        <f t="shared" si="106"/>
        <v/>
      </c>
      <c r="CN10" s="503" t="str">
        <f t="shared" si="107"/>
        <v/>
      </c>
      <c r="CO10" s="503" t="str">
        <f t="shared" si="108"/>
        <v/>
      </c>
      <c r="CP10" s="503" t="str">
        <f t="shared" si="109"/>
        <v>Y</v>
      </c>
      <c r="CQ10" s="504" t="str">
        <f t="shared" si="110"/>
        <v>Y</v>
      </c>
      <c r="CR10" s="474" t="str" cm="1">
        <f t="array" ref="CR10">INDEX(campsByItinerary,numericItinerary($A10),BD$3-1)</f>
        <v>Harlan</v>
      </c>
      <c r="CS10" s="475" t="str" cm="1">
        <f t="array" ref="CS10">IF(INDEX(campsByItinerary,numericItinerary($A10),BE$3-1)="","",VLOOKUP(INDEX(campsByItinerary,numericItinerary($A10),BE$3-1),campInfo,2))</f>
        <v>Central</v>
      </c>
      <c r="CT10" s="475" t="str" cm="1">
        <f t="array" ref="CT10">IF(INDEX(campsByItinerary,numericItinerary($A10),BF$3-1)="","",VLOOKUP(INDEX(campsByItinerary,numericItinerary($A10),BF$3-1),campInfo,2))</f>
        <v>Central</v>
      </c>
      <c r="CU10" s="475" t="str" cm="1">
        <f t="array" ref="CU10">IF(INDEX(campsByItinerary,numericItinerary($A10),BG$3-1)="","",VLOOKUP(INDEX(campsByItinerary,numericItinerary($A10),BG$3-1),campInfo,2))</f>
        <v>Central</v>
      </c>
      <c r="CV10" s="475" t="str" cm="1">
        <f t="array" ref="CV10">IF(INDEX(campsByItinerary,numericItinerary($A10),BH$3-1)="","",VLOOKUP(INDEX(campsByItinerary,numericItinerary($A10),BH$3-1),campInfo,2))</f>
        <v>Central</v>
      </c>
      <c r="CW10" s="475" t="str" cm="1">
        <f t="array" ref="CW10">IF(INDEX(campsByItinerary,numericItinerary($A10),BI$3-1)="","",VLOOKUP(INDEX(campsByItinerary,numericItinerary($A10),BI$3-1),campInfo,2))</f>
        <v>Central</v>
      </c>
      <c r="CX10" s="475" t="str" cm="1">
        <f t="array" ref="CX10">IF(INDEX(campsByItinerary,numericItinerary($A10),BJ$3-1)="","",VLOOKUP(INDEX(campsByItinerary,numericItinerary($A10),BJ$3-1),campInfo,2))</f>
        <v>Central</v>
      </c>
      <c r="CY10" s="475" t="str" cm="1">
        <f t="array" ref="CY10">IF(INDEX(campsByItinerary,numericItinerary($A10),BK$3-1)="","",VLOOKUP(INDEX(campsByItinerary,numericItinerary($A10),BK$3-1),campInfo,2))</f>
        <v/>
      </c>
      <c r="CZ10" s="475" t="str" cm="1">
        <f t="array" ref="CZ10">IF(INDEX(campsByItinerary,numericItinerary($A10),BL$3-1)="","",VLOOKUP(INDEX(campsByItinerary,numericItinerary($A10),BL$3-1),campInfo,2))</f>
        <v/>
      </c>
      <c r="DA10" s="476" t="str" cm="1">
        <f t="array" ref="DA10">IF(INDEX(campsByItinerary,numericItinerary($A10),BM$3-1)="","",VLOOKUP(INDEX(campsByItinerary,numericItinerary($A10),BM$3-1),campInfo,2))</f>
        <v/>
      </c>
      <c r="DB10" s="483" t="str" cm="1">
        <f t="array" ref="DB10">IF(INDEX(campsByItinerary,numericItinerary($A10),BD$3-1)="","",VLOOKUP(INDEX(campsByItinerary,numericItinerary($A10),BD$3-1),campInfo,12))</f>
        <v>South</v>
      </c>
      <c r="DC10" s="484" t="str" cm="1">
        <f t="array" ref="DC10">IF(INDEX(campsByItinerary,numericItinerary($A10),BE$3-1)="","",VLOOKUP(INDEX(campsByItinerary,numericItinerary($A10),BE$3-1),campInfo,12))</f>
        <v>South</v>
      </c>
      <c r="DD10" s="484" t="str" cm="1">
        <f t="array" ref="DD10">IF(INDEX(campsByItinerary,numericItinerary($A10),BF$3-1)="","",VLOOKUP(INDEX(campsByItinerary,numericItinerary($A10),BF$3-1),campInfo,12))</f>
        <v>South</v>
      </c>
      <c r="DE10" s="484" t="str" cm="1">
        <f t="array" ref="DE10">IF(INDEX(campsByItinerary,numericItinerary($A10),BG$3-1)="","",VLOOKUP(INDEX(campsByItinerary,numericItinerary($A10),BG$3-1),campInfo,12))</f>
        <v>South</v>
      </c>
      <c r="DF10" s="484" t="str" cm="1">
        <f t="array" ref="DF10">IF(INDEX(campsByItinerary,numericItinerary($A10),BH$3-1)="","",VLOOKUP(INDEX(campsByItinerary,numericItinerary($A10),BH$3-1),campInfo,12))</f>
        <v>South</v>
      </c>
      <c r="DG10" s="484" t="str" cm="1">
        <f t="array" ref="DG10">IF(INDEX(campsByItinerary,numericItinerary($A10),BI$3-1)="","",VLOOKUP(INDEX(campsByItinerary,numericItinerary($A10),BI$3-1),campInfo,12))</f>
        <v>South</v>
      </c>
      <c r="DH10" s="484" t="str" cm="1">
        <f t="array" ref="DH10">IF(INDEX(campsByItinerary,numericItinerary($A10),BJ$3-1)="","",VLOOKUP(INDEX(campsByItinerary,numericItinerary($A10),BJ$3-1),campInfo,12))</f>
        <v>North &amp; South</v>
      </c>
      <c r="DI10" s="484" t="str" cm="1">
        <f t="array" ref="DI10">IF(INDEX(campsByItinerary,numericItinerary($A10),BK$3-1)="","",VLOOKUP(INDEX(campsByItinerary,numericItinerary($A10),BK$3-1),campInfo,12))</f>
        <v/>
      </c>
      <c r="DJ10" s="484" t="str" cm="1">
        <f t="array" ref="DJ10">IF(INDEX(campsByItinerary,numericItinerary($A10),BL$3-1)="","",VLOOKUP(INDEX(campsByItinerary,numericItinerary($A10),BL$3-1),campInfo,12))</f>
        <v/>
      </c>
      <c r="DK10" s="485" t="str" cm="1">
        <f t="array" ref="DK10">IF(INDEX(campsByItinerary,numericItinerary($A10),BM$3-1)="","",VLOOKUP(INDEX(campsByItinerary,numericItinerary($A10),BM$3-1),campInfo,12))</f>
        <v/>
      </c>
      <c r="DL10" s="410" cm="1">
        <f t="array" ref="DL10">getfoodPU("First",numericItinerary($A10))</f>
        <v>2</v>
      </c>
      <c r="DM10" s="411" cm="1">
        <f t="array" ref="DM10">getfoodPU("Max",numericItinerary($A10))</f>
        <v>4</v>
      </c>
    </row>
    <row r="11" spans="1:117" ht="15" customHeight="1" x14ac:dyDescent="0.25">
      <c r="A11" s="700" t="str">
        <f t="shared" si="111"/>
        <v>9-8</v>
      </c>
      <c r="B11" s="859"/>
      <c r="C11" s="860" t="s">
        <v>14</v>
      </c>
      <c r="D11" s="861">
        <v>44</v>
      </c>
      <c r="E11" s="862" t="s">
        <v>93</v>
      </c>
      <c r="F11" s="863" t="s">
        <v>39</v>
      </c>
      <c r="G11" s="863" t="s">
        <v>56</v>
      </c>
      <c r="H11" s="863" t="s">
        <v>63</v>
      </c>
      <c r="I11" s="863" t="s">
        <v>129</v>
      </c>
      <c r="J11" s="863" t="s">
        <v>110</v>
      </c>
      <c r="K11" s="863" t="s">
        <v>262</v>
      </c>
      <c r="L11" s="863"/>
      <c r="M11" s="863"/>
      <c r="N11" s="864"/>
      <c r="O11" s="898" t="s">
        <v>367</v>
      </c>
      <c r="P11" s="865"/>
      <c r="Q11" s="865" t="s">
        <v>56</v>
      </c>
      <c r="R11" s="865" t="s">
        <v>44</v>
      </c>
      <c r="S11" s="865"/>
      <c r="T11" s="865"/>
      <c r="U11" s="865"/>
      <c r="V11" s="865"/>
      <c r="W11" s="865"/>
      <c r="X11" s="866"/>
      <c r="Y11" s="857" t="s">
        <v>116</v>
      </c>
      <c r="Z11" s="858" t="s">
        <v>87</v>
      </c>
      <c r="AA11" s="1047" t="str">
        <f t="shared" si="112"/>
        <v/>
      </c>
      <c r="AB11" s="888"/>
      <c r="AC11" s="889"/>
      <c r="AD11" s="890"/>
      <c r="AE11" s="1033" t="str">
        <f>IF(ItineraryPrograms!AD10="y","y","")</f>
        <v/>
      </c>
      <c r="AF11" s="1038" t="str">
        <f>IF(ItineraryPrograms!AE10="y","y","")</f>
        <v>y</v>
      </c>
      <c r="AG11" s="1039" t="str">
        <f>IF(ItineraryPrograms!AF10="y","y","")</f>
        <v/>
      </c>
      <c r="AH11" s="956"/>
      <c r="AI11" s="1050" t="s">
        <v>8</v>
      </c>
      <c r="AJ11" s="956" t="s">
        <v>8</v>
      </c>
      <c r="AK11" s="419">
        <f t="shared" si="90"/>
        <v>7375</v>
      </c>
      <c r="AL11" s="420">
        <f t="shared" si="91"/>
        <v>8564</v>
      </c>
      <c r="AM11" s="420">
        <f t="shared" si="92"/>
        <v>9409</v>
      </c>
      <c r="AN11" s="420">
        <f t="shared" si="93"/>
        <v>9330</v>
      </c>
      <c r="AO11" s="420">
        <f t="shared" si="94"/>
        <v>8423</v>
      </c>
      <c r="AP11" s="420">
        <f t="shared" si="95"/>
        <v>7968</v>
      </c>
      <c r="AQ11" s="420">
        <f t="shared" si="96"/>
        <v>7519</v>
      </c>
      <c r="AR11" s="420" t="str">
        <f t="shared" si="97"/>
        <v/>
      </c>
      <c r="AS11" s="420" t="str">
        <f t="shared" si="98"/>
        <v/>
      </c>
      <c r="AT11" s="421" t="str">
        <f t="shared" si="99"/>
        <v/>
      </c>
      <c r="AU11" s="428">
        <f t="shared" si="113"/>
        <v>1189</v>
      </c>
      <c r="AV11" s="429">
        <f t="shared" si="114"/>
        <v>845</v>
      </c>
      <c r="AW11" s="429">
        <f t="shared" si="115"/>
        <v>79</v>
      </c>
      <c r="AX11" s="429">
        <f t="shared" si="116"/>
        <v>907</v>
      </c>
      <c r="AY11" s="429">
        <f t="shared" si="117"/>
        <v>455</v>
      </c>
      <c r="AZ11" s="429">
        <f t="shared" si="118"/>
        <v>449</v>
      </c>
      <c r="BA11" s="429" t="str">
        <f t="shared" si="119"/>
        <v/>
      </c>
      <c r="BB11" s="429" t="str">
        <f t="shared" si="120"/>
        <v/>
      </c>
      <c r="BC11" s="430" t="str">
        <f t="shared" si="121"/>
        <v/>
      </c>
      <c r="BD11" s="440" t="str" cm="1">
        <f t="array" ref="BD11">IF(INDEX(campsByItinerary,numericItinerary($A11),BD$3-1)="","",VLOOKUP(INDEX(campsByItinerary,numericItinerary($A11),BD$3-1),campInfo,8))</f>
        <v/>
      </c>
      <c r="BE11" s="441" t="str" cm="1">
        <f t="array" ref="BE11">IF(INDEX(campsByItinerary,numericItinerary($A11),BE$3-1)="","",VLOOKUP(INDEX(campsByItinerary,numericItinerary($A11),BE$3-1),campInfo,8))</f>
        <v>N</v>
      </c>
      <c r="BF11" s="441" t="str" cm="1">
        <f t="array" ref="BF11">IF(INDEX(campsByItinerary,numericItinerary($A11),BF$3-1)="","",VLOOKUP(INDEX(campsByItinerary,numericItinerary($A11),BF$3-1),campInfo,8))</f>
        <v>Y</v>
      </c>
      <c r="BG11" s="441" t="str" cm="1">
        <f t="array" ref="BG11">IF(INDEX(campsByItinerary,numericItinerary($A11),BG$3-1)="","",VLOOKUP(INDEX(campsByItinerary,numericItinerary($A11),BG$3-1),campInfo,8))</f>
        <v>Y</v>
      </c>
      <c r="BH11" s="441" t="str" cm="1">
        <f t="array" ref="BH11">IF(INDEX(campsByItinerary,numericItinerary($A11),BH$3-1)="","",VLOOKUP(INDEX(campsByItinerary,numericItinerary($A11),BH$3-1),campInfo,8))</f>
        <v/>
      </c>
      <c r="BI11" s="441" t="str" cm="1">
        <f t="array" ref="BI11">IF(INDEX(campsByItinerary,numericItinerary($A11),BI$3-1)="","",VLOOKUP(INDEX(campsByItinerary,numericItinerary($A11),BI$3-1),campInfo,8))</f>
        <v>Y</v>
      </c>
      <c r="BJ11" s="441" t="str" cm="1">
        <f t="array" ref="BJ11">IF(INDEX(campsByItinerary,numericItinerary($A11),BJ$3-1)="","",VLOOKUP(INDEX(campsByItinerary,numericItinerary($A11),BJ$3-1),campInfo,8))</f>
        <v/>
      </c>
      <c r="BK11" s="441" t="str" cm="1">
        <f t="array" ref="BK11">IF(INDEX(campsByItinerary,numericItinerary($A11),BK$3-1)="","",VLOOKUP(INDEX(campsByItinerary,numericItinerary($A11),BK$3-1),campInfo,8))</f>
        <v/>
      </c>
      <c r="BL11" s="441" t="str" cm="1">
        <f t="array" ref="BL11">IF(INDEX(campsByItinerary,numericItinerary($A11),BL$3-1)="","",VLOOKUP(INDEX(campsByItinerary,numericItinerary($A11),BL$3-1),campInfo,8))</f>
        <v/>
      </c>
      <c r="BM11" s="442" t="str" cm="1">
        <f t="array" ref="BM11">IF(INDEX(campsByItinerary,numericItinerary($A11),BM$3-1)="","",VLOOKUP(INDEX(campsByItinerary,numericItinerary($A11),BM$3-1),campInfo,8))</f>
        <v/>
      </c>
      <c r="BN11" s="452" t="str">
        <f t="shared" si="122"/>
        <v>Y</v>
      </c>
      <c r="BO11" s="453" t="str">
        <f t="shared" si="123"/>
        <v>Y</v>
      </c>
      <c r="BP11" s="453" t="str">
        <f t="shared" si="124"/>
        <v/>
      </c>
      <c r="BQ11" s="453" t="str">
        <f t="shared" si="125"/>
        <v/>
      </c>
      <c r="BR11" s="453" t="str">
        <f t="shared" si="126"/>
        <v>Y</v>
      </c>
      <c r="BS11" s="453" t="str">
        <f t="shared" si="127"/>
        <v/>
      </c>
      <c r="BT11" s="453" t="str">
        <f t="shared" si="128"/>
        <v>Y</v>
      </c>
      <c r="BU11" s="453" t="str">
        <f t="shared" si="129"/>
        <v>Y</v>
      </c>
      <c r="BV11" s="453" t="str">
        <f t="shared" si="130"/>
        <v>Y</v>
      </c>
      <c r="BW11" s="454" t="str">
        <f t="shared" si="131"/>
        <v>Y</v>
      </c>
      <c r="BX11" s="379" t="str" cm="1">
        <f t="array" ref="BX11">IF(INDEX(campsByItinerary,numericItinerary($A11),BD$3-1)="","",VLOOKUP(INDEX(campsByItinerary,numericItinerary($A11),BD$3-1),campInfo,10))</f>
        <v/>
      </c>
      <c r="BY11" s="464" t="str" cm="1">
        <f t="array" ref="BY11">IF(INDEX(campsByItinerary,numericItinerary($A11),BE$3-1)="","",VLOOKUP(INDEX(campsByItinerary,numericItinerary($A11),BE$3-1),campInfo,10))</f>
        <v/>
      </c>
      <c r="BZ11" s="464" t="str" cm="1">
        <f t="array" ref="BZ11">IF(INDEX(campsByItinerary,numericItinerary($A11),BF$3-1)="","",VLOOKUP(INDEX(campsByItinerary,numericItinerary($A11),BF$3-1),campInfo,10))</f>
        <v/>
      </c>
      <c r="CA11" s="464" t="str" cm="1">
        <f t="array" ref="CA11">IF(INDEX(campsByItinerary,numericItinerary($A11),BG$3-1)="","",VLOOKUP(INDEX(campsByItinerary,numericItinerary($A11),BG$3-1),campInfo,10))</f>
        <v/>
      </c>
      <c r="CB11" s="464" t="str" cm="1">
        <f t="array" ref="CB11">IF(INDEX(campsByItinerary,numericItinerary($A11),BH$3-1)="","",VLOOKUP(INDEX(campsByItinerary,numericItinerary($A11),BH$3-1),campInfo,10))</f>
        <v/>
      </c>
      <c r="CC11" s="464" t="str" cm="1">
        <f t="array" ref="CC11">IF(INDEX(campsByItinerary,numericItinerary($A11),BI$3-1)="","",VLOOKUP(INDEX(campsByItinerary,numericItinerary($A11),BI$3-1),campInfo,10))</f>
        <v/>
      </c>
      <c r="CD11" s="464" t="str" cm="1">
        <f t="array" ref="CD11">IF(INDEX(campsByItinerary,numericItinerary($A11),BJ$3-1)="","",VLOOKUP(INDEX(campsByItinerary,numericItinerary($A11),BJ$3-1),campInfo,10))</f>
        <v>Y</v>
      </c>
      <c r="CE11" s="464" t="str" cm="1">
        <f t="array" ref="CE11">IF(INDEX(campsByItinerary,numericItinerary($A11),BK$3-1)="","",VLOOKUP(INDEX(campsByItinerary,numericItinerary($A11),BK$3-1),campInfo,10))</f>
        <v/>
      </c>
      <c r="CF11" s="464" t="str" cm="1">
        <f t="array" ref="CF11">IF(INDEX(campsByItinerary,numericItinerary($A11),BL$3-1)="","",VLOOKUP(INDEX(campsByItinerary,numericItinerary($A11),BL$3-1),campInfo,10))</f>
        <v/>
      </c>
      <c r="CG11" s="465" t="str" cm="1">
        <f t="array" ref="CG11">IF(INDEX(campsByItinerary,numericItinerary($A11),BM$3-1)="","",VLOOKUP(INDEX(campsByItinerary,numericItinerary($A11),BM$3-1),campInfo,10))</f>
        <v/>
      </c>
      <c r="CH11" s="502"/>
      <c r="CI11" s="503" t="str">
        <f t="shared" si="102"/>
        <v/>
      </c>
      <c r="CJ11" s="503" t="str">
        <f t="shared" si="103"/>
        <v/>
      </c>
      <c r="CK11" s="503" t="str">
        <f t="shared" si="104"/>
        <v/>
      </c>
      <c r="CL11" s="503" t="str">
        <f t="shared" si="105"/>
        <v/>
      </c>
      <c r="CM11" s="503" t="str">
        <f t="shared" si="106"/>
        <v/>
      </c>
      <c r="CN11" s="503" t="str">
        <f t="shared" si="107"/>
        <v/>
      </c>
      <c r="CO11" s="503" t="str">
        <f t="shared" si="108"/>
        <v/>
      </c>
      <c r="CP11" s="503" t="str">
        <f t="shared" si="109"/>
        <v>Y</v>
      </c>
      <c r="CQ11" s="504" t="str">
        <f t="shared" si="110"/>
        <v>Y</v>
      </c>
      <c r="CR11" s="474" t="str" cm="1">
        <f t="array" ref="CR11">INDEX(campsByItinerary,numericItinerary($A11),BD$3-1)</f>
        <v>Old Abreu</v>
      </c>
      <c r="CS11" s="475" t="str" cm="1">
        <f t="array" ref="CS11">IF(INDEX(campsByItinerary,numericItinerary($A11),BE$3-1)="","",VLOOKUP(INDEX(campsByItinerary,numericItinerary($A11),BE$3-1),campInfo,2))</f>
        <v>South</v>
      </c>
      <c r="CT11" s="475" t="str" cm="1">
        <f t="array" ref="CT11">IF(INDEX(campsByItinerary,numericItinerary($A11),BF$3-1)="","",VLOOKUP(INDEX(campsByItinerary,numericItinerary($A11),BF$3-1),campInfo,2))</f>
        <v>South</v>
      </c>
      <c r="CU11" s="475" t="str" cm="1">
        <f t="array" ref="CU11">IF(INDEX(campsByItinerary,numericItinerary($A11),BG$3-1)="","",VLOOKUP(INDEX(campsByItinerary,numericItinerary($A11),BG$3-1),campInfo,2))</f>
        <v>South</v>
      </c>
      <c r="CV11" s="475" t="str" cm="1">
        <f t="array" ref="CV11">IF(INDEX(campsByItinerary,numericItinerary($A11),BH$3-1)="","",VLOOKUP(INDEX(campsByItinerary,numericItinerary($A11),BH$3-1),campInfo,2))</f>
        <v>South</v>
      </c>
      <c r="CW11" s="475" t="str" cm="1">
        <f t="array" ref="CW11">IF(INDEX(campsByItinerary,numericItinerary($A11),BI$3-1)="","",VLOOKUP(INDEX(campsByItinerary,numericItinerary($A11),BI$3-1),campInfo,2))</f>
        <v>South</v>
      </c>
      <c r="CX11" s="475" t="str" cm="1">
        <f t="array" ref="CX11">IF(INDEX(campsByItinerary,numericItinerary($A11),BJ$3-1)="","",VLOOKUP(INDEX(campsByItinerary,numericItinerary($A11),BJ$3-1),campInfo,2))</f>
        <v>South</v>
      </c>
      <c r="CY11" s="475" t="str" cm="1">
        <f t="array" ref="CY11">IF(INDEX(campsByItinerary,numericItinerary($A11),BK$3-1)="","",VLOOKUP(INDEX(campsByItinerary,numericItinerary($A11),BK$3-1),campInfo,2))</f>
        <v/>
      </c>
      <c r="CZ11" s="475" t="str" cm="1">
        <f t="array" ref="CZ11">IF(INDEX(campsByItinerary,numericItinerary($A11),BL$3-1)="","",VLOOKUP(INDEX(campsByItinerary,numericItinerary($A11),BL$3-1),campInfo,2))</f>
        <v/>
      </c>
      <c r="DA11" s="476" t="str" cm="1">
        <f t="array" ref="DA11">IF(INDEX(campsByItinerary,numericItinerary($A11),BM$3-1)="","",VLOOKUP(INDEX(campsByItinerary,numericItinerary($A11),BM$3-1),campInfo,2))</f>
        <v/>
      </c>
      <c r="DB11" s="483" t="str" cm="1">
        <f t="array" ref="DB11">IF(INDEX(campsByItinerary,numericItinerary($A11),BD$3-1)="","",VLOOKUP(INDEX(campsByItinerary,numericItinerary($A11),BD$3-1),campInfo,12))</f>
        <v>South</v>
      </c>
      <c r="DC11" s="484" t="str" cm="1">
        <f t="array" ref="DC11">IF(INDEX(campsByItinerary,numericItinerary($A11),BE$3-1)="","",VLOOKUP(INDEX(campsByItinerary,numericItinerary($A11),BE$3-1),campInfo,12))</f>
        <v>South</v>
      </c>
      <c r="DD11" s="484" t="str" cm="1">
        <f t="array" ref="DD11">IF(INDEX(campsByItinerary,numericItinerary($A11),BF$3-1)="","",VLOOKUP(INDEX(campsByItinerary,numericItinerary($A11),BF$3-1),campInfo,12))</f>
        <v>South</v>
      </c>
      <c r="DE11" s="484" t="str" cm="1">
        <f t="array" ref="DE11">IF(INDEX(campsByItinerary,numericItinerary($A11),BG$3-1)="","",VLOOKUP(INDEX(campsByItinerary,numericItinerary($A11),BG$3-1),campInfo,12))</f>
        <v>South</v>
      </c>
      <c r="DF11" s="484" t="str" cm="1">
        <f t="array" ref="DF11">IF(INDEX(campsByItinerary,numericItinerary($A11),BH$3-1)="","",VLOOKUP(INDEX(campsByItinerary,numericItinerary($A11),BH$3-1),campInfo,12))</f>
        <v>South</v>
      </c>
      <c r="DG11" s="484" t="str" cm="1">
        <f t="array" ref="DG11">IF(INDEX(campsByItinerary,numericItinerary($A11),BI$3-1)="","",VLOOKUP(INDEX(campsByItinerary,numericItinerary($A11),BI$3-1),campInfo,12))</f>
        <v>South</v>
      </c>
      <c r="DH11" s="484" t="str" cm="1">
        <f t="array" ref="DH11">IF(INDEX(campsByItinerary,numericItinerary($A11),BJ$3-1)="","",VLOOKUP(INDEX(campsByItinerary,numericItinerary($A11),BJ$3-1),campInfo,12))</f>
        <v>South</v>
      </c>
      <c r="DI11" s="484" t="str" cm="1">
        <f t="array" ref="DI11">IF(INDEX(campsByItinerary,numericItinerary($A11),BK$3-1)="","",VLOOKUP(INDEX(campsByItinerary,numericItinerary($A11),BK$3-1),campInfo,12))</f>
        <v/>
      </c>
      <c r="DJ11" s="484" t="str" cm="1">
        <f t="array" ref="DJ11">IF(INDEX(campsByItinerary,numericItinerary($A11),BL$3-1)="","",VLOOKUP(INDEX(campsByItinerary,numericItinerary($A11),BL$3-1),campInfo,12))</f>
        <v/>
      </c>
      <c r="DK11" s="485" t="str" cm="1">
        <f t="array" ref="DK11">IF(INDEX(campsByItinerary,numericItinerary($A11),BM$3-1)="","",VLOOKUP(INDEX(campsByItinerary,numericItinerary($A11),BM$3-1),campInfo,12))</f>
        <v/>
      </c>
      <c r="DL11" s="410" cm="1">
        <f t="array" ref="DL11">getfoodPU("First",numericItinerary($A11))</f>
        <v>2</v>
      </c>
      <c r="DM11" s="411" cm="1">
        <f t="array" ref="DM11">getfoodPU("Max",numericItinerary($A11))</f>
        <v>2</v>
      </c>
    </row>
    <row r="12" spans="1:117" ht="15" customHeight="1" x14ac:dyDescent="0.25">
      <c r="A12" s="700" t="str">
        <f t="shared" si="111"/>
        <v>9-9</v>
      </c>
      <c r="B12" s="859"/>
      <c r="C12" s="860" t="s">
        <v>14</v>
      </c>
      <c r="D12" s="861">
        <v>42</v>
      </c>
      <c r="E12" s="862" t="s">
        <v>174</v>
      </c>
      <c r="F12" s="863" t="s">
        <v>39</v>
      </c>
      <c r="G12" s="863" t="s">
        <v>63</v>
      </c>
      <c r="H12" s="863" t="s">
        <v>77</v>
      </c>
      <c r="I12" s="863" t="s">
        <v>297</v>
      </c>
      <c r="J12" s="863" t="s">
        <v>78</v>
      </c>
      <c r="K12" s="863" t="s">
        <v>41</v>
      </c>
      <c r="L12" s="863"/>
      <c r="M12" s="863"/>
      <c r="N12" s="864"/>
      <c r="O12" s="898" t="s">
        <v>367</v>
      </c>
      <c r="P12" s="865"/>
      <c r="Q12" s="865"/>
      <c r="R12" s="865" t="s">
        <v>44</v>
      </c>
      <c r="S12" s="865"/>
      <c r="T12" s="865"/>
      <c r="U12" s="865"/>
      <c r="V12" s="865"/>
      <c r="W12" s="865"/>
      <c r="X12" s="866"/>
      <c r="Y12" s="857" t="s">
        <v>116</v>
      </c>
      <c r="Z12" s="858" t="s">
        <v>334</v>
      </c>
      <c r="AA12" s="1047" t="str">
        <f t="shared" si="112"/>
        <v/>
      </c>
      <c r="AB12" s="888"/>
      <c r="AC12" s="889"/>
      <c r="AD12" s="890"/>
      <c r="AE12" s="1033" t="str">
        <f>IF(ItineraryPrograms!AD11="y","y","")</f>
        <v/>
      </c>
      <c r="AF12" s="1038" t="str">
        <f>IF(ItineraryPrograms!AE11="y","y","")</f>
        <v/>
      </c>
      <c r="AG12" s="1039" t="str">
        <f>IF(ItineraryPrograms!AF11="y","y","")</f>
        <v>y</v>
      </c>
      <c r="AH12" s="956" t="s">
        <v>8</v>
      </c>
      <c r="AI12" s="1050" t="str" cm="1">
        <f t="array" ref="AI12">checkTooth(AA12,LOWER(ItineraryPrograms!AH11))</f>
        <v/>
      </c>
      <c r="AJ12" s="956"/>
      <c r="AK12" s="419">
        <f t="shared" si="90"/>
        <v>7758</v>
      </c>
      <c r="AL12" s="420">
        <f t="shared" si="91"/>
        <v>8564</v>
      </c>
      <c r="AM12" s="420">
        <f t="shared" si="92"/>
        <v>9330</v>
      </c>
      <c r="AN12" s="420">
        <f t="shared" si="93"/>
        <v>9360</v>
      </c>
      <c r="AO12" s="420">
        <f t="shared" si="94"/>
        <v>11650</v>
      </c>
      <c r="AP12" s="420">
        <f t="shared" si="95"/>
        <v>9302</v>
      </c>
      <c r="AQ12" s="420">
        <f t="shared" si="96"/>
        <v>7776</v>
      </c>
      <c r="AR12" s="420" t="str">
        <f t="shared" si="97"/>
        <v/>
      </c>
      <c r="AS12" s="420" t="str">
        <f t="shared" si="98"/>
        <v/>
      </c>
      <c r="AT12" s="421" t="str">
        <f t="shared" si="99"/>
        <v/>
      </c>
      <c r="AU12" s="428">
        <f t="shared" si="113"/>
        <v>806</v>
      </c>
      <c r="AV12" s="429">
        <f t="shared" si="114"/>
        <v>766</v>
      </c>
      <c r="AW12" s="429">
        <f t="shared" si="115"/>
        <v>30</v>
      </c>
      <c r="AX12" s="429">
        <f t="shared" si="116"/>
        <v>2290</v>
      </c>
      <c r="AY12" s="429">
        <f t="shared" si="117"/>
        <v>2348</v>
      </c>
      <c r="AZ12" s="429">
        <f t="shared" si="118"/>
        <v>1526</v>
      </c>
      <c r="BA12" s="429" t="str">
        <f t="shared" si="119"/>
        <v/>
      </c>
      <c r="BB12" s="429" t="str">
        <f t="shared" si="120"/>
        <v/>
      </c>
      <c r="BC12" s="430" t="str">
        <f t="shared" si="121"/>
        <v/>
      </c>
      <c r="BD12" s="440" t="str" cm="1">
        <f t="array" ref="BD12">IF(INDEX(campsByItinerary,numericItinerary($A12),BD$3-1)="","",VLOOKUP(INDEX(campsByItinerary,numericItinerary($A12),BD$3-1),campInfo,8))</f>
        <v>N</v>
      </c>
      <c r="BE12" s="441" t="str" cm="1">
        <f t="array" ref="BE12">IF(INDEX(campsByItinerary,numericItinerary($A12),BE$3-1)="","",VLOOKUP(INDEX(campsByItinerary,numericItinerary($A12),BE$3-1),campInfo,8))</f>
        <v>N</v>
      </c>
      <c r="BF12" s="441" t="str" cm="1">
        <f t="array" ref="BF12">IF(INDEX(campsByItinerary,numericItinerary($A12),BF$3-1)="","",VLOOKUP(INDEX(campsByItinerary,numericItinerary($A12),BF$3-1),campInfo,8))</f>
        <v>Y</v>
      </c>
      <c r="BG12" s="441" t="str" cm="1">
        <f t="array" ref="BG12">IF(INDEX(campsByItinerary,numericItinerary($A12),BG$3-1)="","",VLOOKUP(INDEX(campsByItinerary,numericItinerary($A12),BG$3-1),campInfo,8))</f>
        <v>Y</v>
      </c>
      <c r="BH12" s="441" t="str" cm="1">
        <f t="array" ref="BH12">IF(INDEX(campsByItinerary,numericItinerary($A12),BH$3-1)="","",VLOOKUP(INDEX(campsByItinerary,numericItinerary($A12),BH$3-1),campInfo,8))</f>
        <v/>
      </c>
      <c r="BI12" s="441" t="str" cm="1">
        <f t="array" ref="BI12">IF(INDEX(campsByItinerary,numericItinerary($A12),BI$3-1)="","",VLOOKUP(INDEX(campsByItinerary,numericItinerary($A12),BI$3-1),campInfo,8))</f>
        <v>Y</v>
      </c>
      <c r="BJ12" s="441" t="str" cm="1">
        <f t="array" ref="BJ12">IF(INDEX(campsByItinerary,numericItinerary($A12),BJ$3-1)="","",VLOOKUP(INDEX(campsByItinerary,numericItinerary($A12),BJ$3-1),campInfo,8))</f>
        <v>N</v>
      </c>
      <c r="BK12" s="441" t="str" cm="1">
        <f t="array" ref="BK12">IF(INDEX(campsByItinerary,numericItinerary($A12),BK$3-1)="","",VLOOKUP(INDEX(campsByItinerary,numericItinerary($A12),BK$3-1),campInfo,8))</f>
        <v/>
      </c>
      <c r="BL12" s="441" t="str" cm="1">
        <f t="array" ref="BL12">IF(INDEX(campsByItinerary,numericItinerary($A12),BL$3-1)="","",VLOOKUP(INDEX(campsByItinerary,numericItinerary($A12),BL$3-1),campInfo,8))</f>
        <v/>
      </c>
      <c r="BM12" s="442" t="str" cm="1">
        <f t="array" ref="BM12">IF(INDEX(campsByItinerary,numericItinerary($A12),BM$3-1)="","",VLOOKUP(INDEX(campsByItinerary,numericItinerary($A12),BM$3-1),campInfo,8))</f>
        <v/>
      </c>
      <c r="BN12" s="452" t="str">
        <f t="shared" si="122"/>
        <v>Y</v>
      </c>
      <c r="BO12" s="453" t="str">
        <f t="shared" si="123"/>
        <v>Y</v>
      </c>
      <c r="BP12" s="453" t="str">
        <f t="shared" si="124"/>
        <v/>
      </c>
      <c r="BQ12" s="453" t="str">
        <f t="shared" si="125"/>
        <v/>
      </c>
      <c r="BR12" s="453" t="str">
        <f t="shared" si="126"/>
        <v>Y</v>
      </c>
      <c r="BS12" s="453" t="str">
        <f t="shared" si="127"/>
        <v/>
      </c>
      <c r="BT12" s="453" t="str">
        <f t="shared" si="128"/>
        <v>Y</v>
      </c>
      <c r="BU12" s="453" t="str">
        <f t="shared" si="129"/>
        <v>Y</v>
      </c>
      <c r="BV12" s="453" t="str">
        <f t="shared" si="130"/>
        <v>Y</v>
      </c>
      <c r="BW12" s="454" t="str">
        <f t="shared" si="131"/>
        <v>Y</v>
      </c>
      <c r="BX12" s="379" t="str" cm="1">
        <f t="array" ref="BX12">IF(INDEX(campsByItinerary,numericItinerary($A12),BD$3-1)="","",VLOOKUP(INDEX(campsByItinerary,numericItinerary($A12),BD$3-1),campInfo,10))</f>
        <v/>
      </c>
      <c r="BY12" s="464" t="str" cm="1">
        <f t="array" ref="BY12">IF(INDEX(campsByItinerary,numericItinerary($A12),BE$3-1)="","",VLOOKUP(INDEX(campsByItinerary,numericItinerary($A12),BE$3-1),campInfo,10))</f>
        <v/>
      </c>
      <c r="BZ12" s="464" t="str" cm="1">
        <f t="array" ref="BZ12">IF(INDEX(campsByItinerary,numericItinerary($A12),BF$3-1)="","",VLOOKUP(INDEX(campsByItinerary,numericItinerary($A12),BF$3-1),campInfo,10))</f>
        <v/>
      </c>
      <c r="CA12" s="464" t="str" cm="1">
        <f t="array" ref="CA12">IF(INDEX(campsByItinerary,numericItinerary($A12),BG$3-1)="","",VLOOKUP(INDEX(campsByItinerary,numericItinerary($A12),BG$3-1),campInfo,10))</f>
        <v/>
      </c>
      <c r="CB12" s="464" t="str" cm="1">
        <f t="array" ref="CB12">IF(INDEX(campsByItinerary,numericItinerary($A12),BH$3-1)="","",VLOOKUP(INDEX(campsByItinerary,numericItinerary($A12),BH$3-1),campInfo,10))</f>
        <v>Y</v>
      </c>
      <c r="CC12" s="464" t="str" cm="1">
        <f t="array" ref="CC12">IF(INDEX(campsByItinerary,numericItinerary($A12),BI$3-1)="","",VLOOKUP(INDEX(campsByItinerary,numericItinerary($A12),BI$3-1),campInfo,10))</f>
        <v/>
      </c>
      <c r="CD12" s="464" t="str" cm="1">
        <f t="array" ref="CD12">IF(INDEX(campsByItinerary,numericItinerary($A12),BJ$3-1)="","",VLOOKUP(INDEX(campsByItinerary,numericItinerary($A12),BJ$3-1),campInfo,10))</f>
        <v/>
      </c>
      <c r="CE12" s="464" t="str" cm="1">
        <f t="array" ref="CE12">IF(INDEX(campsByItinerary,numericItinerary($A12),BK$3-1)="","",VLOOKUP(INDEX(campsByItinerary,numericItinerary($A12),BK$3-1),campInfo,10))</f>
        <v/>
      </c>
      <c r="CF12" s="464" t="str" cm="1">
        <f t="array" ref="CF12">IF(INDEX(campsByItinerary,numericItinerary($A12),BL$3-1)="","",VLOOKUP(INDEX(campsByItinerary,numericItinerary($A12),BL$3-1),campInfo,10))</f>
        <v/>
      </c>
      <c r="CG12" s="465" t="str" cm="1">
        <f t="array" ref="CG12">IF(INDEX(campsByItinerary,numericItinerary($A12),BM$3-1)="","",VLOOKUP(INDEX(campsByItinerary,numericItinerary($A12),BM$3-1),campInfo,10))</f>
        <v/>
      </c>
      <c r="CH12" s="502"/>
      <c r="CI12" s="503" t="str">
        <f t="shared" si="102"/>
        <v/>
      </c>
      <c r="CJ12" s="503" t="str">
        <f t="shared" si="103"/>
        <v/>
      </c>
      <c r="CK12" s="503" t="str">
        <f t="shared" si="104"/>
        <v/>
      </c>
      <c r="CL12" s="503" t="str">
        <f t="shared" si="105"/>
        <v/>
      </c>
      <c r="CM12" s="503" t="str">
        <f t="shared" si="106"/>
        <v/>
      </c>
      <c r="CN12" s="503" t="str">
        <f t="shared" si="107"/>
        <v/>
      </c>
      <c r="CO12" s="503" t="str">
        <f t="shared" si="108"/>
        <v/>
      </c>
      <c r="CP12" s="503" t="str">
        <f t="shared" si="109"/>
        <v>Y</v>
      </c>
      <c r="CQ12" s="504" t="str">
        <f t="shared" si="110"/>
        <v>Y</v>
      </c>
      <c r="CR12" s="474" t="str" cm="1">
        <f t="array" ref="CR12">INDEX(campsByItinerary,numericItinerary($A12),BD$3-1)</f>
        <v>Carson Meadows</v>
      </c>
      <c r="CS12" s="475" t="str" cm="1">
        <f t="array" ref="CS12">IF(INDEX(campsByItinerary,numericItinerary($A12),BE$3-1)="","",VLOOKUP(INDEX(campsByItinerary,numericItinerary($A12),BE$3-1),campInfo,2))</f>
        <v>South</v>
      </c>
      <c r="CT12" s="475" t="str" cm="1">
        <f t="array" ref="CT12">IF(INDEX(campsByItinerary,numericItinerary($A12),BF$3-1)="","",VLOOKUP(INDEX(campsByItinerary,numericItinerary($A12),BF$3-1),campInfo,2))</f>
        <v>South</v>
      </c>
      <c r="CU12" s="475" t="str" cm="1">
        <f t="array" ref="CU12">IF(INDEX(campsByItinerary,numericItinerary($A12),BG$3-1)="","",VLOOKUP(INDEX(campsByItinerary,numericItinerary($A12),BG$3-1),campInfo,2))</f>
        <v>South</v>
      </c>
      <c r="CV12" s="475" t="str" cm="1">
        <f t="array" ref="CV12">IF(INDEX(campsByItinerary,numericItinerary($A12),BH$3-1)="","",VLOOKUP(INDEX(campsByItinerary,numericItinerary($A12),BH$3-1),campInfo,2))</f>
        <v>Central</v>
      </c>
      <c r="CW12" s="475" t="str" cm="1">
        <f t="array" ref="CW12">IF(INDEX(campsByItinerary,numericItinerary($A12),BI$3-1)="","",VLOOKUP(INDEX(campsByItinerary,numericItinerary($A12),BI$3-1),campInfo,2))</f>
        <v>Central</v>
      </c>
      <c r="CX12" s="475" t="str" cm="1">
        <f t="array" ref="CX12">IF(INDEX(campsByItinerary,numericItinerary($A12),BJ$3-1)="","",VLOOKUP(INDEX(campsByItinerary,numericItinerary($A12),BJ$3-1),campInfo,2))</f>
        <v>Central</v>
      </c>
      <c r="CY12" s="475" t="str" cm="1">
        <f t="array" ref="CY12">IF(INDEX(campsByItinerary,numericItinerary($A12),BK$3-1)="","",VLOOKUP(INDEX(campsByItinerary,numericItinerary($A12),BK$3-1),campInfo,2))</f>
        <v/>
      </c>
      <c r="CZ12" s="475" t="str" cm="1">
        <f t="array" ref="CZ12">IF(INDEX(campsByItinerary,numericItinerary($A12),BL$3-1)="","",VLOOKUP(INDEX(campsByItinerary,numericItinerary($A12),BL$3-1),campInfo,2))</f>
        <v/>
      </c>
      <c r="DA12" s="476" t="str" cm="1">
        <f t="array" ref="DA12">IF(INDEX(campsByItinerary,numericItinerary($A12),BM$3-1)="","",VLOOKUP(INDEX(campsByItinerary,numericItinerary($A12),BM$3-1),campInfo,2))</f>
        <v/>
      </c>
      <c r="DB12" s="483" t="str" cm="1">
        <f t="array" ref="DB12">IF(INDEX(campsByItinerary,numericItinerary($A12),BD$3-1)="","",VLOOKUP(INDEX(campsByItinerary,numericItinerary($A12),BD$3-1),campInfo,12))</f>
        <v>South</v>
      </c>
      <c r="DC12" s="484" t="str" cm="1">
        <f t="array" ref="DC12">IF(INDEX(campsByItinerary,numericItinerary($A12),BE$3-1)="","",VLOOKUP(INDEX(campsByItinerary,numericItinerary($A12),BE$3-1),campInfo,12))</f>
        <v>South</v>
      </c>
      <c r="DD12" s="484" t="str" cm="1">
        <f t="array" ref="DD12">IF(INDEX(campsByItinerary,numericItinerary($A12),BF$3-1)="","",VLOOKUP(INDEX(campsByItinerary,numericItinerary($A12),BF$3-1),campInfo,12))</f>
        <v>South</v>
      </c>
      <c r="DE12" s="484" t="str" cm="1">
        <f t="array" ref="DE12">IF(INDEX(campsByItinerary,numericItinerary($A12),BG$3-1)="","",VLOOKUP(INDEX(campsByItinerary,numericItinerary($A12),BG$3-1),campInfo,12))</f>
        <v>South</v>
      </c>
      <c r="DF12" s="484" t="str" cm="1">
        <f t="array" ref="DF12">IF(INDEX(campsByItinerary,numericItinerary($A12),BH$3-1)="","",VLOOKUP(INDEX(campsByItinerary,numericItinerary($A12),BH$3-1),campInfo,12))</f>
        <v>South</v>
      </c>
      <c r="DG12" s="484" t="str" cm="1">
        <f t="array" ref="DG12">IF(INDEX(campsByItinerary,numericItinerary($A12),BI$3-1)="","",VLOOKUP(INDEX(campsByItinerary,numericItinerary($A12),BI$3-1),campInfo,12))</f>
        <v>South</v>
      </c>
      <c r="DH12" s="484" t="str" cm="1">
        <f t="array" ref="DH12">IF(INDEX(campsByItinerary,numericItinerary($A12),BJ$3-1)="","",VLOOKUP(INDEX(campsByItinerary,numericItinerary($A12),BJ$3-1),campInfo,12))</f>
        <v>South</v>
      </c>
      <c r="DI12" s="484" t="str" cm="1">
        <f t="array" ref="DI12">IF(INDEX(campsByItinerary,numericItinerary($A12),BK$3-1)="","",VLOOKUP(INDEX(campsByItinerary,numericItinerary($A12),BK$3-1),campInfo,12))</f>
        <v/>
      </c>
      <c r="DJ12" s="484" t="str" cm="1">
        <f t="array" ref="DJ12">IF(INDEX(campsByItinerary,numericItinerary($A12),BL$3-1)="","",VLOOKUP(INDEX(campsByItinerary,numericItinerary($A12),BL$3-1),campInfo,12))</f>
        <v/>
      </c>
      <c r="DK12" s="485" t="str" cm="1">
        <f t="array" ref="DK12">IF(INDEX(campsByItinerary,numericItinerary($A12),BM$3-1)="","",VLOOKUP(INDEX(campsByItinerary,numericItinerary($A12),BM$3-1),campInfo,12))</f>
        <v/>
      </c>
      <c r="DL12" s="410" cm="1">
        <f t="array" ref="DL12">getfoodPU("First",numericItinerary($A12))</f>
        <v>3</v>
      </c>
      <c r="DM12" s="411" cm="1">
        <f t="array" ref="DM12">getfoodPU("Max",numericItinerary($A12))</f>
        <v>3</v>
      </c>
    </row>
    <row r="13" spans="1:117" ht="15" customHeight="1" x14ac:dyDescent="0.25">
      <c r="A13" s="700" t="str">
        <f t="shared" si="111"/>
        <v>9-10</v>
      </c>
      <c r="B13" s="859"/>
      <c r="C13" s="860" t="s">
        <v>15</v>
      </c>
      <c r="D13" s="861">
        <v>53</v>
      </c>
      <c r="E13" s="862" t="s">
        <v>89</v>
      </c>
      <c r="F13" s="863" t="s">
        <v>267</v>
      </c>
      <c r="G13" s="863" t="s">
        <v>308</v>
      </c>
      <c r="H13" s="863" t="s">
        <v>96</v>
      </c>
      <c r="I13" s="863" t="s">
        <v>75</v>
      </c>
      <c r="J13" s="863" t="s">
        <v>75</v>
      </c>
      <c r="K13" s="863" t="s">
        <v>91</v>
      </c>
      <c r="L13" s="863"/>
      <c r="M13" s="863"/>
      <c r="N13" s="864"/>
      <c r="O13" s="898" t="s">
        <v>367</v>
      </c>
      <c r="P13" s="865"/>
      <c r="Q13" s="865" t="s">
        <v>94</v>
      </c>
      <c r="R13" s="865"/>
      <c r="S13" s="865"/>
      <c r="T13" s="865" t="s">
        <v>60</v>
      </c>
      <c r="U13" s="865"/>
      <c r="V13" s="865"/>
      <c r="W13" s="865"/>
      <c r="X13" s="866"/>
      <c r="Y13" s="857" t="s">
        <v>49</v>
      </c>
      <c r="Z13" s="858" t="s">
        <v>206</v>
      </c>
      <c r="AA13" s="1047" t="str">
        <f t="shared" si="112"/>
        <v/>
      </c>
      <c r="AB13" s="888"/>
      <c r="AC13" s="889"/>
      <c r="AD13" s="890"/>
      <c r="AE13" s="1033" t="str">
        <f>IF(ItineraryPrograms!AD12="y","y","")</f>
        <v>y</v>
      </c>
      <c r="AF13" s="1038" t="str">
        <f>IF(ItineraryPrograms!AE12="y","y","")</f>
        <v/>
      </c>
      <c r="AG13" s="1039" t="str">
        <f>IF(ItineraryPrograms!AF12="y","y","")</f>
        <v/>
      </c>
      <c r="AH13" s="956" t="s">
        <v>8</v>
      </c>
      <c r="AI13" s="1050" t="str" cm="1">
        <f t="array" ref="AI13">checkTooth(AA13,LOWER(ItineraryPrograms!AH12))</f>
        <v/>
      </c>
      <c r="AJ13" s="956"/>
      <c r="AK13" s="419">
        <f t="shared" si="90"/>
        <v>7105</v>
      </c>
      <c r="AL13" s="420">
        <f t="shared" si="91"/>
        <v>7220</v>
      </c>
      <c r="AM13" s="420">
        <f t="shared" si="92"/>
        <v>7967</v>
      </c>
      <c r="AN13" s="420">
        <f t="shared" si="93"/>
        <v>8069</v>
      </c>
      <c r="AO13" s="420">
        <f t="shared" si="94"/>
        <v>10530</v>
      </c>
      <c r="AP13" s="420">
        <f t="shared" si="95"/>
        <v>10530</v>
      </c>
      <c r="AQ13" s="420">
        <f t="shared" si="96"/>
        <v>8898</v>
      </c>
      <c r="AR13" s="420" t="str">
        <f t="shared" si="97"/>
        <v/>
      </c>
      <c r="AS13" s="420" t="str">
        <f t="shared" si="98"/>
        <v/>
      </c>
      <c r="AT13" s="421" t="str">
        <f t="shared" si="99"/>
        <v/>
      </c>
      <c r="AU13" s="428">
        <f t="shared" si="113"/>
        <v>115</v>
      </c>
      <c r="AV13" s="429">
        <f t="shared" si="114"/>
        <v>747</v>
      </c>
      <c r="AW13" s="429">
        <f t="shared" si="115"/>
        <v>102</v>
      </c>
      <c r="AX13" s="429">
        <f t="shared" si="116"/>
        <v>2461</v>
      </c>
      <c r="AY13" s="429">
        <f t="shared" si="117"/>
        <v>0</v>
      </c>
      <c r="AZ13" s="429">
        <f t="shared" si="118"/>
        <v>1632</v>
      </c>
      <c r="BA13" s="429" t="str">
        <f t="shared" si="119"/>
        <v/>
      </c>
      <c r="BB13" s="429" t="str">
        <f t="shared" si="120"/>
        <v/>
      </c>
      <c r="BC13" s="430" t="str">
        <f t="shared" si="121"/>
        <v/>
      </c>
      <c r="BD13" s="440" t="str" cm="1">
        <f t="array" ref="BD13">IF(INDEX(campsByItinerary,numericItinerary($A13),BD$3-1)="","",VLOOKUP(INDEX(campsByItinerary,numericItinerary($A13),BD$3-1),campInfo,8))</f>
        <v/>
      </c>
      <c r="BE13" s="441" t="str" cm="1">
        <f t="array" ref="BE13">IF(INDEX(campsByItinerary,numericItinerary($A13),BE$3-1)="","",VLOOKUP(INDEX(campsByItinerary,numericItinerary($A13),BE$3-1),campInfo,8))</f>
        <v>Y</v>
      </c>
      <c r="BF13" s="441" t="str" cm="1">
        <f t="array" ref="BF13">IF(INDEX(campsByItinerary,numericItinerary($A13),BF$3-1)="","",VLOOKUP(INDEX(campsByItinerary,numericItinerary($A13),BF$3-1),campInfo,8))</f>
        <v/>
      </c>
      <c r="BG13" s="441" t="str" cm="1">
        <f t="array" ref="BG13">IF(INDEX(campsByItinerary,numericItinerary($A13),BG$3-1)="","",VLOOKUP(INDEX(campsByItinerary,numericItinerary($A13),BG$3-1),campInfo,8))</f>
        <v>Y</v>
      </c>
      <c r="BH13" s="441" t="str" cm="1">
        <f t="array" ref="BH13">IF(INDEX(campsByItinerary,numericItinerary($A13),BH$3-1)="","",VLOOKUP(INDEX(campsByItinerary,numericItinerary($A13),BH$3-1),campInfo,8))</f>
        <v/>
      </c>
      <c r="BI13" s="441" t="str" cm="1">
        <f t="array" ref="BI13">IF(INDEX(campsByItinerary,numericItinerary($A13),BI$3-1)="","",VLOOKUP(INDEX(campsByItinerary,numericItinerary($A13),BI$3-1),campInfo,8))</f>
        <v/>
      </c>
      <c r="BJ13" s="441" t="str" cm="1">
        <f t="array" ref="BJ13">IF(INDEX(campsByItinerary,numericItinerary($A13),BJ$3-1)="","",VLOOKUP(INDEX(campsByItinerary,numericItinerary($A13),BJ$3-1),campInfo,8))</f>
        <v>Y</v>
      </c>
      <c r="BK13" s="441" t="str" cm="1">
        <f t="array" ref="BK13">IF(INDEX(campsByItinerary,numericItinerary($A13),BK$3-1)="","",VLOOKUP(INDEX(campsByItinerary,numericItinerary($A13),BK$3-1),campInfo,8))</f>
        <v/>
      </c>
      <c r="BL13" s="441" t="str" cm="1">
        <f t="array" ref="BL13">IF(INDEX(campsByItinerary,numericItinerary($A13),BL$3-1)="","",VLOOKUP(INDEX(campsByItinerary,numericItinerary($A13),BL$3-1),campInfo,8))</f>
        <v/>
      </c>
      <c r="BM13" s="442" t="str" cm="1">
        <f t="array" ref="BM13">IF(INDEX(campsByItinerary,numericItinerary($A13),BM$3-1)="","",VLOOKUP(INDEX(campsByItinerary,numericItinerary($A13),BM$3-1),campInfo,8))</f>
        <v/>
      </c>
      <c r="BN13" s="452" t="str">
        <f t="shared" si="122"/>
        <v>Y</v>
      </c>
      <c r="BO13" s="453" t="str">
        <f t="shared" si="123"/>
        <v/>
      </c>
      <c r="BP13" s="453" t="str">
        <f t="shared" si="124"/>
        <v>Y</v>
      </c>
      <c r="BQ13" s="453" t="str">
        <f t="shared" si="125"/>
        <v/>
      </c>
      <c r="BR13" s="453" t="str">
        <f t="shared" si="126"/>
        <v>Y</v>
      </c>
      <c r="BS13" s="453" t="str">
        <f t="shared" si="127"/>
        <v>Y</v>
      </c>
      <c r="BT13" s="453" t="str">
        <f t="shared" si="128"/>
        <v/>
      </c>
      <c r="BU13" s="453" t="str">
        <f t="shared" si="129"/>
        <v>Y</v>
      </c>
      <c r="BV13" s="453" t="str">
        <f t="shared" si="130"/>
        <v>Y</v>
      </c>
      <c r="BW13" s="454" t="str">
        <f t="shared" si="131"/>
        <v>Y</v>
      </c>
      <c r="BX13" s="379" t="str" cm="1">
        <f t="array" ref="BX13">IF(INDEX(campsByItinerary,numericItinerary($A13),BD$3-1)="","",VLOOKUP(INDEX(campsByItinerary,numericItinerary($A13),BD$3-1),campInfo,10))</f>
        <v>Y</v>
      </c>
      <c r="BY13" s="464" t="str" cm="1">
        <f t="array" ref="BY13">IF(INDEX(campsByItinerary,numericItinerary($A13),BE$3-1)="","",VLOOKUP(INDEX(campsByItinerary,numericItinerary($A13),BE$3-1),campInfo,10))</f>
        <v/>
      </c>
      <c r="BZ13" s="464" t="str" cm="1">
        <f t="array" ref="BZ13">IF(INDEX(campsByItinerary,numericItinerary($A13),BF$3-1)="","",VLOOKUP(INDEX(campsByItinerary,numericItinerary($A13),BF$3-1),campInfo,10))</f>
        <v>Y</v>
      </c>
      <c r="CA13" s="464" t="str" cm="1">
        <f t="array" ref="CA13">IF(INDEX(campsByItinerary,numericItinerary($A13),BG$3-1)="","",VLOOKUP(INDEX(campsByItinerary,numericItinerary($A13),BG$3-1),campInfo,10))</f>
        <v/>
      </c>
      <c r="CB13" s="464" t="str" cm="1">
        <f t="array" ref="CB13">IF(INDEX(campsByItinerary,numericItinerary($A13),BH$3-1)="","",VLOOKUP(INDEX(campsByItinerary,numericItinerary($A13),BH$3-1),campInfo,10))</f>
        <v/>
      </c>
      <c r="CC13" s="464" t="str" cm="1">
        <f t="array" ref="CC13">IF(INDEX(campsByItinerary,numericItinerary($A13),BI$3-1)="","",VLOOKUP(INDEX(campsByItinerary,numericItinerary($A13),BI$3-1),campInfo,10))</f>
        <v/>
      </c>
      <c r="CD13" s="464" t="str" cm="1">
        <f t="array" ref="CD13">IF(INDEX(campsByItinerary,numericItinerary($A13),BJ$3-1)="","",VLOOKUP(INDEX(campsByItinerary,numericItinerary($A13),BJ$3-1),campInfo,10))</f>
        <v/>
      </c>
      <c r="CE13" s="464" t="str" cm="1">
        <f t="array" ref="CE13">IF(INDEX(campsByItinerary,numericItinerary($A13),BK$3-1)="","",VLOOKUP(INDEX(campsByItinerary,numericItinerary($A13),BK$3-1),campInfo,10))</f>
        <v/>
      </c>
      <c r="CF13" s="464" t="str" cm="1">
        <f t="array" ref="CF13">IF(INDEX(campsByItinerary,numericItinerary($A13),BL$3-1)="","",VLOOKUP(INDEX(campsByItinerary,numericItinerary($A13),BL$3-1),campInfo,10))</f>
        <v/>
      </c>
      <c r="CG13" s="465" t="str" cm="1">
        <f t="array" ref="CG13">IF(INDEX(campsByItinerary,numericItinerary($A13),BM$3-1)="","",VLOOKUP(INDEX(campsByItinerary,numericItinerary($A13),BM$3-1),campInfo,10))</f>
        <v/>
      </c>
      <c r="CH13" s="502"/>
      <c r="CI13" s="503" t="str">
        <f t="shared" si="102"/>
        <v/>
      </c>
      <c r="CJ13" s="503" t="str">
        <f t="shared" si="103"/>
        <v/>
      </c>
      <c r="CK13" s="503" t="str">
        <f t="shared" si="104"/>
        <v/>
      </c>
      <c r="CL13" s="503" t="str">
        <f t="shared" si="105"/>
        <v/>
      </c>
      <c r="CM13" s="503" t="str">
        <f t="shared" si="106"/>
        <v>Y</v>
      </c>
      <c r="CN13" s="503" t="str">
        <f t="shared" si="107"/>
        <v/>
      </c>
      <c r="CO13" s="503" t="str">
        <f t="shared" si="108"/>
        <v/>
      </c>
      <c r="CP13" s="503" t="str">
        <f t="shared" si="109"/>
        <v>Y</v>
      </c>
      <c r="CQ13" s="504" t="str">
        <f t="shared" si="110"/>
        <v>Y</v>
      </c>
      <c r="CR13" s="474" t="str" cm="1">
        <f t="array" ref="CR13">INDEX(campsByItinerary,numericItinerary($A13),BD$3-1)</f>
        <v>McBride Canyon</v>
      </c>
      <c r="CS13" s="475" t="str" cm="1">
        <f t="array" ref="CS13">IF(INDEX(campsByItinerary,numericItinerary($A13),BE$3-1)="","",VLOOKUP(INDEX(campsByItinerary,numericItinerary($A13),BE$3-1),campInfo,2))</f>
        <v>North</v>
      </c>
      <c r="CT13" s="475" t="str" cm="1">
        <f t="array" ref="CT13">IF(INDEX(campsByItinerary,numericItinerary($A13),BF$3-1)="","",VLOOKUP(INDEX(campsByItinerary,numericItinerary($A13),BF$3-1),campInfo,2))</f>
        <v>North</v>
      </c>
      <c r="CU13" s="475" t="str" cm="1">
        <f t="array" ref="CU13">IF(INDEX(campsByItinerary,numericItinerary($A13),BG$3-1)="","",VLOOKUP(INDEX(campsByItinerary,numericItinerary($A13),BG$3-1),campInfo,2))</f>
        <v>North</v>
      </c>
      <c r="CV13" s="475" t="str" cm="1">
        <f t="array" ref="CV13">IF(INDEX(campsByItinerary,numericItinerary($A13),BH$3-1)="","",VLOOKUP(INDEX(campsByItinerary,numericItinerary($A13),BH$3-1),campInfo,2))</f>
        <v>North</v>
      </c>
      <c r="CW13" s="475" t="str" cm="1">
        <f t="array" ref="CW13">IF(INDEX(campsByItinerary,numericItinerary($A13),BI$3-1)="","",VLOOKUP(INDEX(campsByItinerary,numericItinerary($A13),BI$3-1),campInfo,2))</f>
        <v>North</v>
      </c>
      <c r="CX13" s="475" t="str" cm="1">
        <f t="array" ref="CX13">IF(INDEX(campsByItinerary,numericItinerary($A13),BJ$3-1)="","",VLOOKUP(INDEX(campsByItinerary,numericItinerary($A13),BJ$3-1),campInfo,2))</f>
        <v>North</v>
      </c>
      <c r="CY13" s="475" t="str" cm="1">
        <f t="array" ref="CY13">IF(INDEX(campsByItinerary,numericItinerary($A13),BK$3-1)="","",VLOOKUP(INDEX(campsByItinerary,numericItinerary($A13),BK$3-1),campInfo,2))</f>
        <v/>
      </c>
      <c r="CZ13" s="475" t="str" cm="1">
        <f t="array" ref="CZ13">IF(INDEX(campsByItinerary,numericItinerary($A13),BL$3-1)="","",VLOOKUP(INDEX(campsByItinerary,numericItinerary($A13),BL$3-1),campInfo,2))</f>
        <v/>
      </c>
      <c r="DA13" s="476" t="str" cm="1">
        <f t="array" ref="DA13">IF(INDEX(campsByItinerary,numericItinerary($A13),BM$3-1)="","",VLOOKUP(INDEX(campsByItinerary,numericItinerary($A13),BM$3-1),campInfo,2))</f>
        <v/>
      </c>
      <c r="DB13" s="483" t="str" cm="1">
        <f t="array" ref="DB13">IF(INDEX(campsByItinerary,numericItinerary($A13),BD$3-1)="","",VLOOKUP(INDEX(campsByItinerary,numericItinerary($A13),BD$3-1),campInfo,12))</f>
        <v>North</v>
      </c>
      <c r="DC13" s="484" t="str" cm="1">
        <f t="array" ref="DC13">IF(INDEX(campsByItinerary,numericItinerary($A13),BE$3-1)="","",VLOOKUP(INDEX(campsByItinerary,numericItinerary($A13),BE$3-1),campInfo,12))</f>
        <v>North</v>
      </c>
      <c r="DD13" s="484" t="str" cm="1">
        <f t="array" ref="DD13">IF(INDEX(campsByItinerary,numericItinerary($A13),BF$3-1)="","",VLOOKUP(INDEX(campsByItinerary,numericItinerary($A13),BF$3-1),campInfo,12))</f>
        <v>North</v>
      </c>
      <c r="DE13" s="484" t="str" cm="1">
        <f t="array" ref="DE13">IF(INDEX(campsByItinerary,numericItinerary($A13),BG$3-1)="","",VLOOKUP(INDEX(campsByItinerary,numericItinerary($A13),BG$3-1),campInfo,12))</f>
        <v>North</v>
      </c>
      <c r="DF13" s="484" t="str" cm="1">
        <f t="array" ref="DF13">IF(INDEX(campsByItinerary,numericItinerary($A13),BH$3-1)="","",VLOOKUP(INDEX(campsByItinerary,numericItinerary($A13),BH$3-1),campInfo,12))</f>
        <v>North</v>
      </c>
      <c r="DG13" s="484" t="str" cm="1">
        <f t="array" ref="DG13">IF(INDEX(campsByItinerary,numericItinerary($A13),BI$3-1)="","",VLOOKUP(INDEX(campsByItinerary,numericItinerary($A13),BI$3-1),campInfo,12))</f>
        <v>North</v>
      </c>
      <c r="DH13" s="484" t="str" cm="1">
        <f t="array" ref="DH13">IF(INDEX(campsByItinerary,numericItinerary($A13),BJ$3-1)="","",VLOOKUP(INDEX(campsByItinerary,numericItinerary($A13),BJ$3-1),campInfo,12))</f>
        <v>North</v>
      </c>
      <c r="DI13" s="484" t="str" cm="1">
        <f t="array" ref="DI13">IF(INDEX(campsByItinerary,numericItinerary($A13),BK$3-1)="","",VLOOKUP(INDEX(campsByItinerary,numericItinerary($A13),BK$3-1),campInfo,12))</f>
        <v/>
      </c>
      <c r="DJ13" s="484" t="str" cm="1">
        <f t="array" ref="DJ13">IF(INDEX(campsByItinerary,numericItinerary($A13),BL$3-1)="","",VLOOKUP(INDEX(campsByItinerary,numericItinerary($A13),BL$3-1),campInfo,12))</f>
        <v/>
      </c>
      <c r="DK13" s="485" t="str" cm="1">
        <f t="array" ref="DK13">IF(INDEX(campsByItinerary,numericItinerary($A13),BM$3-1)="","",VLOOKUP(INDEX(campsByItinerary,numericItinerary($A13),BM$3-1),campInfo,12))</f>
        <v/>
      </c>
      <c r="DL13" s="410" cm="1">
        <f t="array" ref="DL13">getfoodPU("First",numericItinerary($A13))</f>
        <v>2</v>
      </c>
      <c r="DM13" s="411" cm="1">
        <f t="array" ref="DM13">getfoodPU("Max",numericItinerary($A13))</f>
        <v>2</v>
      </c>
    </row>
    <row r="14" spans="1:117" ht="15" customHeight="1" x14ac:dyDescent="0.25">
      <c r="A14" s="700" t="str">
        <f t="shared" si="111"/>
        <v>9-11</v>
      </c>
      <c r="B14" s="859"/>
      <c r="C14" s="860" t="s">
        <v>15</v>
      </c>
      <c r="D14" s="861">
        <v>53</v>
      </c>
      <c r="E14" s="862" t="s">
        <v>182</v>
      </c>
      <c r="F14" s="863" t="s">
        <v>139</v>
      </c>
      <c r="G14" s="863" t="s">
        <v>46</v>
      </c>
      <c r="H14" s="863" t="s">
        <v>207</v>
      </c>
      <c r="I14" s="863" t="s">
        <v>75</v>
      </c>
      <c r="J14" s="863" t="s">
        <v>75</v>
      </c>
      <c r="K14" s="863" t="s">
        <v>349</v>
      </c>
      <c r="L14" s="863"/>
      <c r="M14" s="863"/>
      <c r="N14" s="864"/>
      <c r="O14" s="898" t="s">
        <v>367</v>
      </c>
      <c r="P14" s="865"/>
      <c r="Q14" s="865" t="s">
        <v>46</v>
      </c>
      <c r="R14" s="865"/>
      <c r="S14" s="865"/>
      <c r="T14" s="865" t="s">
        <v>60</v>
      </c>
      <c r="U14" s="865"/>
      <c r="V14" s="865"/>
      <c r="W14" s="865"/>
      <c r="X14" s="866"/>
      <c r="Y14" s="857" t="s">
        <v>49</v>
      </c>
      <c r="Z14" s="858" t="s">
        <v>206</v>
      </c>
      <c r="AA14" s="1047" t="str">
        <f t="shared" si="112"/>
        <v/>
      </c>
      <c r="AB14" s="888"/>
      <c r="AC14" s="888"/>
      <c r="AD14" s="890"/>
      <c r="AE14" s="1033" t="str">
        <f>IF(ItineraryPrograms!AD13="y","y","")</f>
        <v>y</v>
      </c>
      <c r="AF14" s="1038" t="str">
        <f>IF(ItineraryPrograms!AE13="y","y","")</f>
        <v/>
      </c>
      <c r="AG14" s="1039" t="str">
        <f>IF(ItineraryPrograms!AF13="y","y","")</f>
        <v/>
      </c>
      <c r="AH14" s="956"/>
      <c r="AI14" s="1050" t="str" cm="1">
        <f t="array" ref="AI14">checkTooth(AA14,LOWER(ItineraryPrograms!AH13))</f>
        <v/>
      </c>
      <c r="AJ14" s="956"/>
      <c r="AK14" s="419">
        <f t="shared" si="90"/>
        <v>7157</v>
      </c>
      <c r="AL14" s="420">
        <f t="shared" si="91"/>
        <v>7373</v>
      </c>
      <c r="AM14" s="420">
        <f t="shared" si="92"/>
        <v>7728</v>
      </c>
      <c r="AN14" s="420">
        <f t="shared" si="93"/>
        <v>10262.665999999999</v>
      </c>
      <c r="AO14" s="420">
        <f t="shared" si="94"/>
        <v>10530</v>
      </c>
      <c r="AP14" s="420">
        <f t="shared" si="95"/>
        <v>10530</v>
      </c>
      <c r="AQ14" s="420">
        <f t="shared" si="96"/>
        <v>8855</v>
      </c>
      <c r="AR14" s="420" t="str">
        <f t="shared" si="97"/>
        <v/>
      </c>
      <c r="AS14" s="420" t="str">
        <f t="shared" si="98"/>
        <v/>
      </c>
      <c r="AT14" s="421" t="str">
        <f t="shared" si="99"/>
        <v/>
      </c>
      <c r="AU14" s="428">
        <f t="shared" si="113"/>
        <v>216</v>
      </c>
      <c r="AV14" s="429">
        <f t="shared" si="114"/>
        <v>355</v>
      </c>
      <c r="AW14" s="429">
        <f t="shared" si="115"/>
        <v>2534.6659999999993</v>
      </c>
      <c r="AX14" s="429">
        <f t="shared" si="116"/>
        <v>267.33400000000074</v>
      </c>
      <c r="AY14" s="429">
        <f t="shared" si="117"/>
        <v>0</v>
      </c>
      <c r="AZ14" s="429">
        <f t="shared" si="118"/>
        <v>1675</v>
      </c>
      <c r="BA14" s="429" t="str">
        <f t="shared" si="119"/>
        <v/>
      </c>
      <c r="BB14" s="429" t="str">
        <f t="shared" si="120"/>
        <v/>
      </c>
      <c r="BC14" s="430" t="str">
        <f t="shared" si="121"/>
        <v/>
      </c>
      <c r="BD14" s="440" t="str" cm="1">
        <f t="array" ref="BD14">IF(INDEX(campsByItinerary,numericItinerary($A14),BD$3-1)="","",VLOOKUP(INDEX(campsByItinerary,numericItinerary($A14),BD$3-1),campInfo,8))</f>
        <v/>
      </c>
      <c r="BE14" s="441" t="str" cm="1">
        <f t="array" ref="BE14">IF(INDEX(campsByItinerary,numericItinerary($A14),BE$3-1)="","",VLOOKUP(INDEX(campsByItinerary,numericItinerary($A14),BE$3-1),campInfo,8))</f>
        <v/>
      </c>
      <c r="BF14" s="441" t="str" cm="1">
        <f t="array" ref="BF14">IF(INDEX(campsByItinerary,numericItinerary($A14),BF$3-1)="","",VLOOKUP(INDEX(campsByItinerary,numericItinerary($A14),BF$3-1),campInfo,8))</f>
        <v>Y</v>
      </c>
      <c r="BG14" s="441" t="str" cm="1">
        <f t="array" ref="BG14">IF(INDEX(campsByItinerary,numericItinerary($A14),BG$3-1)="","",VLOOKUP(INDEX(campsByItinerary,numericItinerary($A14),BG$3-1),campInfo,8))</f>
        <v/>
      </c>
      <c r="BH14" s="441" t="str" cm="1">
        <f t="array" ref="BH14">IF(INDEX(campsByItinerary,numericItinerary($A14),BH$3-1)="","",VLOOKUP(INDEX(campsByItinerary,numericItinerary($A14),BH$3-1),campInfo,8))</f>
        <v/>
      </c>
      <c r="BI14" s="441" t="str" cm="1">
        <f t="array" ref="BI14">IF(INDEX(campsByItinerary,numericItinerary($A14),BI$3-1)="","",VLOOKUP(INDEX(campsByItinerary,numericItinerary($A14),BI$3-1),campInfo,8))</f>
        <v/>
      </c>
      <c r="BJ14" s="441" t="str" cm="1">
        <f t="array" ref="BJ14">IF(INDEX(campsByItinerary,numericItinerary($A14),BJ$3-1)="","",VLOOKUP(INDEX(campsByItinerary,numericItinerary($A14),BJ$3-1),campInfo,8))</f>
        <v/>
      </c>
      <c r="BK14" s="441" t="str" cm="1">
        <f t="array" ref="BK14">IF(INDEX(campsByItinerary,numericItinerary($A14),BK$3-1)="","",VLOOKUP(INDEX(campsByItinerary,numericItinerary($A14),BK$3-1),campInfo,8))</f>
        <v/>
      </c>
      <c r="BL14" s="441" t="str" cm="1">
        <f t="array" ref="BL14">IF(INDEX(campsByItinerary,numericItinerary($A14),BL$3-1)="","",VLOOKUP(INDEX(campsByItinerary,numericItinerary($A14),BL$3-1),campInfo,8))</f>
        <v/>
      </c>
      <c r="BM14" s="442" t="str" cm="1">
        <f t="array" ref="BM14">IF(INDEX(campsByItinerary,numericItinerary($A14),BM$3-1)="","",VLOOKUP(INDEX(campsByItinerary,numericItinerary($A14),BM$3-1),campInfo,8))</f>
        <v/>
      </c>
      <c r="BN14" s="452" t="str">
        <f t="shared" si="122"/>
        <v>Y</v>
      </c>
      <c r="BO14" s="453" t="str">
        <f t="shared" si="123"/>
        <v>Y</v>
      </c>
      <c r="BP14" s="453" t="str">
        <f t="shared" si="124"/>
        <v/>
      </c>
      <c r="BQ14" s="453" t="str">
        <f t="shared" si="125"/>
        <v>Y</v>
      </c>
      <c r="BR14" s="453" t="str">
        <f t="shared" si="126"/>
        <v>Y</v>
      </c>
      <c r="BS14" s="453" t="str">
        <f t="shared" si="127"/>
        <v>Y</v>
      </c>
      <c r="BT14" s="453" t="str">
        <f t="shared" si="128"/>
        <v>Y</v>
      </c>
      <c r="BU14" s="453" t="str">
        <f t="shared" si="129"/>
        <v>Y</v>
      </c>
      <c r="BV14" s="453" t="str">
        <f t="shared" si="130"/>
        <v>Y</v>
      </c>
      <c r="BW14" s="454" t="str">
        <f t="shared" si="131"/>
        <v>Y</v>
      </c>
      <c r="BX14" s="379" t="str" cm="1">
        <f t="array" ref="BX14">IF(INDEX(campsByItinerary,numericItinerary($A14),BD$3-1)="","",VLOOKUP(INDEX(campsByItinerary,numericItinerary($A14),BD$3-1),campInfo,10))</f>
        <v/>
      </c>
      <c r="BY14" s="464" t="str" cm="1">
        <f t="array" ref="BY14">IF(INDEX(campsByItinerary,numericItinerary($A14),BE$3-1)="","",VLOOKUP(INDEX(campsByItinerary,numericItinerary($A14),BE$3-1),campInfo,10))</f>
        <v/>
      </c>
      <c r="BZ14" s="464" t="str" cm="1">
        <f t="array" ref="BZ14">IF(INDEX(campsByItinerary,numericItinerary($A14),BF$3-1)="","",VLOOKUP(INDEX(campsByItinerary,numericItinerary($A14),BF$3-1),campInfo,10))</f>
        <v/>
      </c>
      <c r="CA14" s="464" t="str" cm="1">
        <f t="array" ref="CA14">IF(INDEX(campsByItinerary,numericItinerary($A14),BG$3-1)="","",VLOOKUP(INDEX(campsByItinerary,numericItinerary($A14),BG$3-1),campInfo,10))</f>
        <v/>
      </c>
      <c r="CB14" s="464" t="str" cm="1">
        <f t="array" ref="CB14">IF(INDEX(campsByItinerary,numericItinerary($A14),BH$3-1)="","",VLOOKUP(INDEX(campsByItinerary,numericItinerary($A14),BH$3-1),campInfo,10))</f>
        <v/>
      </c>
      <c r="CC14" s="464" t="str" cm="1">
        <f t="array" ref="CC14">IF(INDEX(campsByItinerary,numericItinerary($A14),BI$3-1)="","",VLOOKUP(INDEX(campsByItinerary,numericItinerary($A14),BI$3-1),campInfo,10))</f>
        <v/>
      </c>
      <c r="CD14" s="464" t="str" cm="1">
        <f t="array" ref="CD14">IF(INDEX(campsByItinerary,numericItinerary($A14),BJ$3-1)="","",VLOOKUP(INDEX(campsByItinerary,numericItinerary($A14),BJ$3-1),campInfo,10))</f>
        <v/>
      </c>
      <c r="CE14" s="464" t="str" cm="1">
        <f t="array" ref="CE14">IF(INDEX(campsByItinerary,numericItinerary($A14),BK$3-1)="","",VLOOKUP(INDEX(campsByItinerary,numericItinerary($A14),BK$3-1),campInfo,10))</f>
        <v/>
      </c>
      <c r="CF14" s="464" t="str" cm="1">
        <f t="array" ref="CF14">IF(INDEX(campsByItinerary,numericItinerary($A14),BL$3-1)="","",VLOOKUP(INDEX(campsByItinerary,numericItinerary($A14),BL$3-1),campInfo,10))</f>
        <v/>
      </c>
      <c r="CG14" s="465" t="str" cm="1">
        <f t="array" ref="CG14">IF(INDEX(campsByItinerary,numericItinerary($A14),BM$3-1)="","",VLOOKUP(INDEX(campsByItinerary,numericItinerary($A14),BM$3-1),campInfo,10))</f>
        <v/>
      </c>
      <c r="CH14" s="502"/>
      <c r="CI14" s="503" t="str">
        <f t="shared" si="102"/>
        <v/>
      </c>
      <c r="CJ14" s="503" t="str">
        <f t="shared" si="103"/>
        <v/>
      </c>
      <c r="CK14" s="503" t="str">
        <f t="shared" si="104"/>
        <v/>
      </c>
      <c r="CL14" s="503" t="str">
        <f t="shared" si="105"/>
        <v/>
      </c>
      <c r="CM14" s="503" t="str">
        <f t="shared" si="106"/>
        <v>Y</v>
      </c>
      <c r="CN14" s="503" t="str">
        <f t="shared" si="107"/>
        <v/>
      </c>
      <c r="CO14" s="503" t="str">
        <f t="shared" si="108"/>
        <v/>
      </c>
      <c r="CP14" s="503" t="str">
        <f t="shared" si="109"/>
        <v>Y</v>
      </c>
      <c r="CQ14" s="504" t="str">
        <f t="shared" si="110"/>
        <v>Y</v>
      </c>
      <c r="CR14" s="474" t="str" cm="1">
        <f t="array" ref="CR14">INDEX(campsByItinerary,numericItinerary($A14),BD$3-1)</f>
        <v>House Canyon</v>
      </c>
      <c r="CS14" s="475" t="str" cm="1">
        <f t="array" ref="CS14">IF(INDEX(campsByItinerary,numericItinerary($A14),BE$3-1)="","",VLOOKUP(INDEX(campsByItinerary,numericItinerary($A14),BE$3-1),campInfo,2))</f>
        <v>North</v>
      </c>
      <c r="CT14" s="475" t="str" cm="1">
        <f t="array" ref="CT14">IF(INDEX(campsByItinerary,numericItinerary($A14),BF$3-1)="","",VLOOKUP(INDEX(campsByItinerary,numericItinerary($A14),BF$3-1),campInfo,2))</f>
        <v>Valle Vidal</v>
      </c>
      <c r="CU14" s="475" t="str" cm="1">
        <f t="array" ref="CU14">IF(INDEX(campsByItinerary,numericItinerary($A14),BG$3-1)="","",VLOOKUP(INDEX(campsByItinerary,numericItinerary($A14),BG$3-1),campInfo,2))</f>
        <v>Valle Vidal</v>
      </c>
      <c r="CV14" s="475" t="str" cm="1">
        <f t="array" ref="CV14">IF(INDEX(campsByItinerary,numericItinerary($A14),BH$3-1)="","",VLOOKUP(INDEX(campsByItinerary,numericItinerary($A14),BH$3-1),campInfo,2))</f>
        <v>North</v>
      </c>
      <c r="CW14" s="475" t="str" cm="1">
        <f t="array" ref="CW14">IF(INDEX(campsByItinerary,numericItinerary($A14),BI$3-1)="","",VLOOKUP(INDEX(campsByItinerary,numericItinerary($A14),BI$3-1),campInfo,2))</f>
        <v>North</v>
      </c>
      <c r="CX14" s="475" t="str" cm="1">
        <f t="array" ref="CX14">IF(INDEX(campsByItinerary,numericItinerary($A14),BJ$3-1)="","",VLOOKUP(INDEX(campsByItinerary,numericItinerary($A14),BJ$3-1),campInfo,2))</f>
        <v>North</v>
      </c>
      <c r="CY14" s="475" t="str" cm="1">
        <f t="array" ref="CY14">IF(INDEX(campsByItinerary,numericItinerary($A14),BK$3-1)="","",VLOOKUP(INDEX(campsByItinerary,numericItinerary($A14),BK$3-1),campInfo,2))</f>
        <v/>
      </c>
      <c r="CZ14" s="475" t="str" cm="1">
        <f t="array" ref="CZ14">IF(INDEX(campsByItinerary,numericItinerary($A14),BL$3-1)="","",VLOOKUP(INDEX(campsByItinerary,numericItinerary($A14),BL$3-1),campInfo,2))</f>
        <v/>
      </c>
      <c r="DA14" s="476" t="str" cm="1">
        <f t="array" ref="DA14">IF(INDEX(campsByItinerary,numericItinerary($A14),BM$3-1)="","",VLOOKUP(INDEX(campsByItinerary,numericItinerary($A14),BM$3-1),campInfo,2))</f>
        <v/>
      </c>
      <c r="DB14" s="483" t="str" cm="1">
        <f t="array" ref="DB14">IF(INDEX(campsByItinerary,numericItinerary($A14),BD$3-1)="","",VLOOKUP(INDEX(campsByItinerary,numericItinerary($A14),BD$3-1),campInfo,12))</f>
        <v>North</v>
      </c>
      <c r="DC14" s="484" t="str" cm="1">
        <f t="array" ref="DC14">IF(INDEX(campsByItinerary,numericItinerary($A14),BE$3-1)="","",VLOOKUP(INDEX(campsByItinerary,numericItinerary($A14),BE$3-1),campInfo,12))</f>
        <v>North</v>
      </c>
      <c r="DD14" s="484" t="str" cm="1">
        <f t="array" ref="DD14">IF(INDEX(campsByItinerary,numericItinerary($A14),BF$3-1)="","",VLOOKUP(INDEX(campsByItinerary,numericItinerary($A14),BF$3-1),campInfo,12))</f>
        <v>North</v>
      </c>
      <c r="DE14" s="484" t="str" cm="1">
        <f t="array" ref="DE14">IF(INDEX(campsByItinerary,numericItinerary($A14),BG$3-1)="","",VLOOKUP(INDEX(campsByItinerary,numericItinerary($A14),BG$3-1),campInfo,12))</f>
        <v>North</v>
      </c>
      <c r="DF14" s="484" t="str" cm="1">
        <f t="array" ref="DF14">IF(INDEX(campsByItinerary,numericItinerary($A14),BH$3-1)="","",VLOOKUP(INDEX(campsByItinerary,numericItinerary($A14),BH$3-1),campInfo,12))</f>
        <v>North</v>
      </c>
      <c r="DG14" s="484" t="str" cm="1">
        <f t="array" ref="DG14">IF(INDEX(campsByItinerary,numericItinerary($A14),BI$3-1)="","",VLOOKUP(INDEX(campsByItinerary,numericItinerary($A14),BI$3-1),campInfo,12))</f>
        <v>North</v>
      </c>
      <c r="DH14" s="484" t="str" cm="1">
        <f t="array" ref="DH14">IF(INDEX(campsByItinerary,numericItinerary($A14),BJ$3-1)="","",VLOOKUP(INDEX(campsByItinerary,numericItinerary($A14),BJ$3-1),campInfo,12))</f>
        <v>North</v>
      </c>
      <c r="DI14" s="484" t="str" cm="1">
        <f t="array" ref="DI14">IF(INDEX(campsByItinerary,numericItinerary($A14),BK$3-1)="","",VLOOKUP(INDEX(campsByItinerary,numericItinerary($A14),BK$3-1),campInfo,12))</f>
        <v/>
      </c>
      <c r="DJ14" s="484" t="str" cm="1">
        <f t="array" ref="DJ14">IF(INDEX(campsByItinerary,numericItinerary($A14),BL$3-1)="","",VLOOKUP(INDEX(campsByItinerary,numericItinerary($A14),BL$3-1),campInfo,12))</f>
        <v/>
      </c>
      <c r="DK14" s="485" t="str" cm="1">
        <f t="array" ref="DK14">IF(INDEX(campsByItinerary,numericItinerary($A14),BM$3-1)="","",VLOOKUP(INDEX(campsByItinerary,numericItinerary($A14),BM$3-1),campInfo,12))</f>
        <v/>
      </c>
      <c r="DL14" s="410" cm="1">
        <f t="array" ref="DL14">getfoodPU("First",numericItinerary($A14))</f>
        <v>2</v>
      </c>
      <c r="DM14" s="411" cm="1">
        <f t="array" ref="DM14">getfoodPU("Max",numericItinerary($A14))</f>
        <v>2</v>
      </c>
    </row>
    <row r="15" spans="1:117" ht="15" customHeight="1" x14ac:dyDescent="0.25">
      <c r="A15" s="700" t="str">
        <f t="shared" si="111"/>
        <v>9-12</v>
      </c>
      <c r="B15" s="859"/>
      <c r="C15" s="860" t="s">
        <v>15</v>
      </c>
      <c r="D15" s="861">
        <v>57</v>
      </c>
      <c r="E15" s="862" t="s">
        <v>85</v>
      </c>
      <c r="F15" s="863" t="s">
        <v>298</v>
      </c>
      <c r="G15" s="863" t="s">
        <v>102</v>
      </c>
      <c r="H15" s="863" t="s">
        <v>297</v>
      </c>
      <c r="I15" s="863" t="s">
        <v>95</v>
      </c>
      <c r="J15" s="863" t="s">
        <v>63</v>
      </c>
      <c r="K15" s="863" t="s">
        <v>103</v>
      </c>
      <c r="L15" s="863"/>
      <c r="M15" s="863"/>
      <c r="N15" s="864"/>
      <c r="O15" s="898" t="s">
        <v>367</v>
      </c>
      <c r="P15" s="865"/>
      <c r="Q15" s="865" t="s">
        <v>256</v>
      </c>
      <c r="R15" s="865"/>
      <c r="S15" s="865"/>
      <c r="T15" s="865" t="s">
        <v>44</v>
      </c>
      <c r="U15" s="865"/>
      <c r="V15" s="865"/>
      <c r="W15" s="865"/>
      <c r="X15" s="866"/>
      <c r="Y15" s="857" t="s">
        <v>108</v>
      </c>
      <c r="Z15" s="858" t="s">
        <v>350</v>
      </c>
      <c r="AA15" s="1047" t="str">
        <f t="shared" si="112"/>
        <v>y</v>
      </c>
      <c r="AB15" s="888"/>
      <c r="AC15" s="889"/>
      <c r="AD15" s="890"/>
      <c r="AE15" s="1033" t="str">
        <f>IF(ItineraryPrograms!AD14="y","y","")</f>
        <v/>
      </c>
      <c r="AF15" s="1038" t="str">
        <f>IF(ItineraryPrograms!AE14="y","y","")</f>
        <v/>
      </c>
      <c r="AG15" s="1039" t="str">
        <f>IF(ItineraryPrograms!AF14="y","y","")</f>
        <v>y</v>
      </c>
      <c r="AH15" s="956" t="s">
        <v>8</v>
      </c>
      <c r="AI15" s="1050" t="str" cm="1">
        <f t="array" ref="AI15">checkTooth(AA15,LOWER(ItineraryPrograms!AH14))</f>
        <v>y</v>
      </c>
      <c r="AJ15" s="956" t="s">
        <v>8</v>
      </c>
      <c r="AK15" s="419">
        <f t="shared" si="90"/>
        <v>7550</v>
      </c>
      <c r="AL15" s="420">
        <f t="shared" si="91"/>
        <v>8515</v>
      </c>
      <c r="AM15" s="420">
        <f t="shared" si="92"/>
        <v>9193</v>
      </c>
      <c r="AN15" s="420">
        <f t="shared" si="93"/>
        <v>11650</v>
      </c>
      <c r="AO15" s="420">
        <f t="shared" si="94"/>
        <v>9152</v>
      </c>
      <c r="AP15" s="420">
        <f t="shared" si="95"/>
        <v>9330</v>
      </c>
      <c r="AQ15" s="420">
        <f t="shared" si="96"/>
        <v>8724</v>
      </c>
      <c r="AR15" s="420" t="str">
        <f t="shared" si="97"/>
        <v/>
      </c>
      <c r="AS15" s="420" t="str">
        <f t="shared" si="98"/>
        <v/>
      </c>
      <c r="AT15" s="421" t="str">
        <f t="shared" si="99"/>
        <v/>
      </c>
      <c r="AU15" s="428">
        <f t="shared" si="113"/>
        <v>965</v>
      </c>
      <c r="AV15" s="429">
        <f t="shared" si="114"/>
        <v>678</v>
      </c>
      <c r="AW15" s="429">
        <f t="shared" si="115"/>
        <v>2457</v>
      </c>
      <c r="AX15" s="429">
        <f t="shared" si="116"/>
        <v>2498</v>
      </c>
      <c r="AY15" s="429">
        <f t="shared" si="117"/>
        <v>178</v>
      </c>
      <c r="AZ15" s="429">
        <f t="shared" si="118"/>
        <v>606</v>
      </c>
      <c r="BA15" s="429" t="str">
        <f t="shared" si="119"/>
        <v/>
      </c>
      <c r="BB15" s="429" t="str">
        <f t="shared" si="120"/>
        <v/>
      </c>
      <c r="BC15" s="430" t="str">
        <f t="shared" si="121"/>
        <v/>
      </c>
      <c r="BD15" s="440" t="str" cm="1">
        <f t="array" ref="BD15">IF(INDEX(campsByItinerary,numericItinerary($A15),BD$3-1)="","",VLOOKUP(INDEX(campsByItinerary,numericItinerary($A15),BD$3-1),campInfo,8))</f>
        <v>Y</v>
      </c>
      <c r="BE15" s="441" t="str" cm="1">
        <f t="array" ref="BE15">IF(INDEX(campsByItinerary,numericItinerary($A15),BE$3-1)="","",VLOOKUP(INDEX(campsByItinerary,numericItinerary($A15),BE$3-1),campInfo,8))</f>
        <v/>
      </c>
      <c r="BF15" s="441" t="str" cm="1">
        <f t="array" ref="BF15">IF(INDEX(campsByItinerary,numericItinerary($A15),BF$3-1)="","",VLOOKUP(INDEX(campsByItinerary,numericItinerary($A15),BF$3-1),campInfo,8))</f>
        <v>Y</v>
      </c>
      <c r="BG15" s="441" t="str" cm="1">
        <f t="array" ref="BG15">IF(INDEX(campsByItinerary,numericItinerary($A15),BG$3-1)="","",VLOOKUP(INDEX(campsByItinerary,numericItinerary($A15),BG$3-1),campInfo,8))</f>
        <v/>
      </c>
      <c r="BH15" s="441" t="str" cm="1">
        <f t="array" ref="BH15">IF(INDEX(campsByItinerary,numericItinerary($A15),BH$3-1)="","",VLOOKUP(INDEX(campsByItinerary,numericItinerary($A15),BH$3-1),campInfo,8))</f>
        <v/>
      </c>
      <c r="BI15" s="441" t="str" cm="1">
        <f t="array" ref="BI15">IF(INDEX(campsByItinerary,numericItinerary($A15),BI$3-1)="","",VLOOKUP(INDEX(campsByItinerary,numericItinerary($A15),BI$3-1),campInfo,8))</f>
        <v>Y</v>
      </c>
      <c r="BJ15" s="441" t="str" cm="1">
        <f t="array" ref="BJ15">IF(INDEX(campsByItinerary,numericItinerary($A15),BJ$3-1)="","",VLOOKUP(INDEX(campsByItinerary,numericItinerary($A15),BJ$3-1),campInfo,8))</f>
        <v/>
      </c>
      <c r="BK15" s="441" t="str" cm="1">
        <f t="array" ref="BK15">IF(INDEX(campsByItinerary,numericItinerary($A15),BK$3-1)="","",VLOOKUP(INDEX(campsByItinerary,numericItinerary($A15),BK$3-1),campInfo,8))</f>
        <v/>
      </c>
      <c r="BL15" s="441" t="str" cm="1">
        <f t="array" ref="BL15">IF(INDEX(campsByItinerary,numericItinerary($A15),BL$3-1)="","",VLOOKUP(INDEX(campsByItinerary,numericItinerary($A15),BL$3-1),campInfo,8))</f>
        <v/>
      </c>
      <c r="BM15" s="442" t="str" cm="1">
        <f t="array" ref="BM15">IF(INDEX(campsByItinerary,numericItinerary($A15),BM$3-1)="","",VLOOKUP(INDEX(campsByItinerary,numericItinerary($A15),BM$3-1),campInfo,8))</f>
        <v/>
      </c>
      <c r="BN15" s="452" t="str">
        <f t="shared" si="122"/>
        <v/>
      </c>
      <c r="BO15" s="453" t="str">
        <f t="shared" si="123"/>
        <v>Y</v>
      </c>
      <c r="BP15" s="453" t="str">
        <f t="shared" si="124"/>
        <v/>
      </c>
      <c r="BQ15" s="453" t="str">
        <f t="shared" si="125"/>
        <v>Y</v>
      </c>
      <c r="BR15" s="453" t="str">
        <f t="shared" si="126"/>
        <v>Y</v>
      </c>
      <c r="BS15" s="453" t="str">
        <f t="shared" si="127"/>
        <v/>
      </c>
      <c r="BT15" s="453" t="str">
        <f t="shared" si="128"/>
        <v>Y</v>
      </c>
      <c r="BU15" s="453" t="str">
        <f t="shared" si="129"/>
        <v>Y</v>
      </c>
      <c r="BV15" s="453" t="str">
        <f t="shared" si="130"/>
        <v>Y</v>
      </c>
      <c r="BW15" s="454" t="str">
        <f t="shared" si="131"/>
        <v>Y</v>
      </c>
      <c r="BX15" s="379" t="str" cm="1">
        <f t="array" ref="BX15">IF(INDEX(campsByItinerary,numericItinerary($A15),BD$3-1)="","",VLOOKUP(INDEX(campsByItinerary,numericItinerary($A15),BD$3-1),campInfo,10))</f>
        <v/>
      </c>
      <c r="BY15" s="464" t="str" cm="1">
        <f t="array" ref="BY15">IF(INDEX(campsByItinerary,numericItinerary($A15),BE$3-1)="","",VLOOKUP(INDEX(campsByItinerary,numericItinerary($A15),BE$3-1),campInfo,10))</f>
        <v>Y</v>
      </c>
      <c r="BZ15" s="464" t="str" cm="1">
        <f t="array" ref="BZ15">IF(INDEX(campsByItinerary,numericItinerary($A15),BF$3-1)="","",VLOOKUP(INDEX(campsByItinerary,numericItinerary($A15),BF$3-1),campInfo,10))</f>
        <v/>
      </c>
      <c r="CA15" s="464" t="str" cm="1">
        <f t="array" ref="CA15">IF(INDEX(campsByItinerary,numericItinerary($A15),BG$3-1)="","",VLOOKUP(INDEX(campsByItinerary,numericItinerary($A15),BG$3-1),campInfo,10))</f>
        <v>Y</v>
      </c>
      <c r="CB15" s="464" t="str" cm="1">
        <f t="array" ref="CB15">IF(INDEX(campsByItinerary,numericItinerary($A15),BH$3-1)="","",VLOOKUP(INDEX(campsByItinerary,numericItinerary($A15),BH$3-1),campInfo,10))</f>
        <v/>
      </c>
      <c r="CC15" s="464" t="str" cm="1">
        <f t="array" ref="CC15">IF(INDEX(campsByItinerary,numericItinerary($A15),BI$3-1)="","",VLOOKUP(INDEX(campsByItinerary,numericItinerary($A15),BI$3-1),campInfo,10))</f>
        <v/>
      </c>
      <c r="CD15" s="464" t="str" cm="1">
        <f t="array" ref="CD15">IF(INDEX(campsByItinerary,numericItinerary($A15),BJ$3-1)="","",VLOOKUP(INDEX(campsByItinerary,numericItinerary($A15),BJ$3-1),campInfo,10))</f>
        <v>Y</v>
      </c>
      <c r="CE15" s="464" t="str" cm="1">
        <f t="array" ref="CE15">IF(INDEX(campsByItinerary,numericItinerary($A15),BK$3-1)="","",VLOOKUP(INDEX(campsByItinerary,numericItinerary($A15),BK$3-1),campInfo,10))</f>
        <v/>
      </c>
      <c r="CF15" s="464" t="str" cm="1">
        <f t="array" ref="CF15">IF(INDEX(campsByItinerary,numericItinerary($A15),BL$3-1)="","",VLOOKUP(INDEX(campsByItinerary,numericItinerary($A15),BL$3-1),campInfo,10))</f>
        <v/>
      </c>
      <c r="CG15" s="465" t="str" cm="1">
        <f t="array" ref="CG15">IF(INDEX(campsByItinerary,numericItinerary($A15),BM$3-1)="","",VLOOKUP(INDEX(campsByItinerary,numericItinerary($A15),BM$3-1),campInfo,10))</f>
        <v/>
      </c>
      <c r="CH15" s="502"/>
      <c r="CI15" s="503" t="str">
        <f t="shared" si="102"/>
        <v/>
      </c>
      <c r="CJ15" s="503" t="str">
        <f t="shared" si="103"/>
        <v/>
      </c>
      <c r="CK15" s="503" t="str">
        <f t="shared" si="104"/>
        <v/>
      </c>
      <c r="CL15" s="503" t="str">
        <f t="shared" si="105"/>
        <v/>
      </c>
      <c r="CM15" s="503" t="str">
        <f t="shared" si="106"/>
        <v/>
      </c>
      <c r="CN15" s="503" t="str">
        <f t="shared" si="107"/>
        <v/>
      </c>
      <c r="CO15" s="503" t="str">
        <f t="shared" si="108"/>
        <v/>
      </c>
      <c r="CP15" s="503" t="str">
        <f t="shared" si="109"/>
        <v>Y</v>
      </c>
      <c r="CQ15" s="504" t="str">
        <f t="shared" si="110"/>
        <v>Y</v>
      </c>
      <c r="CR15" s="474" t="str" cm="1">
        <f t="array" ref="CR15">INDEX(campsByItinerary,numericItinerary($A15),BD$3-1)</f>
        <v>Harlan</v>
      </c>
      <c r="CS15" s="475" t="str" cm="1">
        <f t="array" ref="CS15">IF(INDEX(campsByItinerary,numericItinerary($A15),BE$3-1)="","",VLOOKUP(INDEX(campsByItinerary,numericItinerary($A15),BE$3-1),campInfo,2))</f>
        <v>Central</v>
      </c>
      <c r="CT15" s="475" t="str" cm="1">
        <f t="array" ref="CT15">IF(INDEX(campsByItinerary,numericItinerary($A15),BF$3-1)="","",VLOOKUP(INDEX(campsByItinerary,numericItinerary($A15),BF$3-1),campInfo,2))</f>
        <v>Central</v>
      </c>
      <c r="CU15" s="475" t="str" cm="1">
        <f t="array" ref="CU15">IF(INDEX(campsByItinerary,numericItinerary($A15),BG$3-1)="","",VLOOKUP(INDEX(campsByItinerary,numericItinerary($A15),BG$3-1),campInfo,2))</f>
        <v>Central</v>
      </c>
      <c r="CV15" s="475" t="str" cm="1">
        <f t="array" ref="CV15">IF(INDEX(campsByItinerary,numericItinerary($A15),BH$3-1)="","",VLOOKUP(INDEX(campsByItinerary,numericItinerary($A15),BH$3-1),campInfo,2))</f>
        <v>South</v>
      </c>
      <c r="CW15" s="475" t="str" cm="1">
        <f t="array" ref="CW15">IF(INDEX(campsByItinerary,numericItinerary($A15),BI$3-1)="","",VLOOKUP(INDEX(campsByItinerary,numericItinerary($A15),BI$3-1),campInfo,2))</f>
        <v>South</v>
      </c>
      <c r="CX15" s="475" t="str" cm="1">
        <f t="array" ref="CX15">IF(INDEX(campsByItinerary,numericItinerary($A15),BJ$3-1)="","",VLOOKUP(INDEX(campsByItinerary,numericItinerary($A15),BJ$3-1),campInfo,2))</f>
        <v>Central</v>
      </c>
      <c r="CY15" s="475" t="str" cm="1">
        <f t="array" ref="CY15">IF(INDEX(campsByItinerary,numericItinerary($A15),BK$3-1)="","",VLOOKUP(INDEX(campsByItinerary,numericItinerary($A15),BK$3-1),campInfo,2))</f>
        <v/>
      </c>
      <c r="CZ15" s="475" t="str" cm="1">
        <f t="array" ref="CZ15">IF(INDEX(campsByItinerary,numericItinerary($A15),BL$3-1)="","",VLOOKUP(INDEX(campsByItinerary,numericItinerary($A15),BL$3-1),campInfo,2))</f>
        <v/>
      </c>
      <c r="DA15" s="476" t="str" cm="1">
        <f t="array" ref="DA15">IF(INDEX(campsByItinerary,numericItinerary($A15),BM$3-1)="","",VLOOKUP(INDEX(campsByItinerary,numericItinerary($A15),BM$3-1),campInfo,2))</f>
        <v/>
      </c>
      <c r="DB15" s="483" t="str" cm="1">
        <f t="array" ref="DB15">IF(INDEX(campsByItinerary,numericItinerary($A15),BD$3-1)="","",VLOOKUP(INDEX(campsByItinerary,numericItinerary($A15),BD$3-1),campInfo,12))</f>
        <v>South</v>
      </c>
      <c r="DC15" s="484" t="str" cm="1">
        <f t="array" ref="DC15">IF(INDEX(campsByItinerary,numericItinerary($A15),BE$3-1)="","",VLOOKUP(INDEX(campsByItinerary,numericItinerary($A15),BE$3-1),campInfo,12))</f>
        <v>South</v>
      </c>
      <c r="DD15" s="484" t="str" cm="1">
        <f t="array" ref="DD15">IF(INDEX(campsByItinerary,numericItinerary($A15),BF$3-1)="","",VLOOKUP(INDEX(campsByItinerary,numericItinerary($A15),BF$3-1),campInfo,12))</f>
        <v>South</v>
      </c>
      <c r="DE15" s="484" t="str" cm="1">
        <f t="array" ref="DE15">IF(INDEX(campsByItinerary,numericItinerary($A15),BG$3-1)="","",VLOOKUP(INDEX(campsByItinerary,numericItinerary($A15),BG$3-1),campInfo,12))</f>
        <v>South</v>
      </c>
      <c r="DF15" s="484" t="str" cm="1">
        <f t="array" ref="DF15">IF(INDEX(campsByItinerary,numericItinerary($A15),BH$3-1)="","",VLOOKUP(INDEX(campsByItinerary,numericItinerary($A15),BH$3-1),campInfo,12))</f>
        <v>South</v>
      </c>
      <c r="DG15" s="484" t="str" cm="1">
        <f t="array" ref="DG15">IF(INDEX(campsByItinerary,numericItinerary($A15),BI$3-1)="","",VLOOKUP(INDEX(campsByItinerary,numericItinerary($A15),BI$3-1),campInfo,12))</f>
        <v>South</v>
      </c>
      <c r="DH15" s="484" t="str" cm="1">
        <f t="array" ref="DH15">IF(INDEX(campsByItinerary,numericItinerary($A15),BJ$3-1)="","",VLOOKUP(INDEX(campsByItinerary,numericItinerary($A15),BJ$3-1),campInfo,12))</f>
        <v>South</v>
      </c>
      <c r="DI15" s="484" t="str" cm="1">
        <f t="array" ref="DI15">IF(INDEX(campsByItinerary,numericItinerary($A15),BK$3-1)="","",VLOOKUP(INDEX(campsByItinerary,numericItinerary($A15),BK$3-1),campInfo,12))</f>
        <v/>
      </c>
      <c r="DJ15" s="484" t="str" cm="1">
        <f t="array" ref="DJ15">IF(INDEX(campsByItinerary,numericItinerary($A15),BL$3-1)="","",VLOOKUP(INDEX(campsByItinerary,numericItinerary($A15),BL$3-1),campInfo,12))</f>
        <v/>
      </c>
      <c r="DK15" s="485" t="str" cm="1">
        <f t="array" ref="DK15">IF(INDEX(campsByItinerary,numericItinerary($A15),BM$3-1)="","",VLOOKUP(INDEX(campsByItinerary,numericItinerary($A15),BM$3-1),campInfo,12))</f>
        <v/>
      </c>
      <c r="DL15" s="410" cm="1">
        <f t="array" ref="DL15">getfoodPU("First",numericItinerary($A15))</f>
        <v>2</v>
      </c>
      <c r="DM15" s="411" cm="1">
        <f t="array" ref="DM15">getfoodPU("Max",numericItinerary($A15))</f>
        <v>2</v>
      </c>
    </row>
    <row r="16" spans="1:117" ht="15" customHeight="1" x14ac:dyDescent="0.25">
      <c r="A16" s="700"/>
      <c r="B16" s="859"/>
      <c r="C16" s="860"/>
      <c r="D16" s="861"/>
      <c r="E16" s="862"/>
      <c r="F16" s="863"/>
      <c r="G16" s="863"/>
      <c r="H16" s="863"/>
      <c r="I16" s="863"/>
      <c r="J16" s="863"/>
      <c r="K16" s="863"/>
      <c r="L16" s="863"/>
      <c r="M16" s="863"/>
      <c r="N16" s="864"/>
      <c r="O16" s="898"/>
      <c r="P16" s="865"/>
      <c r="Q16" s="865"/>
      <c r="R16" s="865"/>
      <c r="S16" s="865"/>
      <c r="T16" s="865"/>
      <c r="U16" s="865"/>
      <c r="V16" s="865"/>
      <c r="W16" s="865"/>
      <c r="X16" s="866"/>
      <c r="Y16" s="857"/>
      <c r="Z16" s="858"/>
      <c r="AA16" s="1047"/>
      <c r="AB16" s="888"/>
      <c r="AC16" s="889"/>
      <c r="AD16" s="890"/>
      <c r="AE16" s="1033"/>
      <c r="AF16" s="1038"/>
      <c r="AG16" s="1039"/>
      <c r="AH16" s="956"/>
      <c r="AI16" s="1050"/>
      <c r="AJ16" s="956"/>
      <c r="AK16" s="419" t="str">
        <f t="shared" si="90"/>
        <v/>
      </c>
      <c r="AL16" s="420" t="str">
        <f t="shared" si="91"/>
        <v/>
      </c>
      <c r="AM16" s="420" t="str">
        <f t="shared" si="92"/>
        <v/>
      </c>
      <c r="AN16" s="420" t="str">
        <f t="shared" si="93"/>
        <v/>
      </c>
      <c r="AO16" s="420" t="str">
        <f t="shared" si="94"/>
        <v/>
      </c>
      <c r="AP16" s="420" t="str">
        <f t="shared" si="95"/>
        <v/>
      </c>
      <c r="AQ16" s="420" t="str">
        <f t="shared" si="96"/>
        <v/>
      </c>
      <c r="AR16" s="420" t="str">
        <f t="shared" si="97"/>
        <v/>
      </c>
      <c r="AS16" s="420" t="str">
        <f t="shared" si="98"/>
        <v/>
      </c>
      <c r="AT16" s="421" t="str">
        <f t="shared" si="99"/>
        <v/>
      </c>
      <c r="AU16" s="428" t="str">
        <f t="shared" si="113"/>
        <v/>
      </c>
      <c r="AV16" s="429" t="str">
        <f t="shared" si="114"/>
        <v/>
      </c>
      <c r="AW16" s="429" t="str">
        <f t="shared" si="115"/>
        <v/>
      </c>
      <c r="AX16" s="429" t="str">
        <f t="shared" si="116"/>
        <v/>
      </c>
      <c r="AY16" s="429" t="str">
        <f t="shared" si="117"/>
        <v/>
      </c>
      <c r="AZ16" s="429" t="str">
        <f t="shared" si="118"/>
        <v/>
      </c>
      <c r="BA16" s="429" t="str">
        <f t="shared" si="119"/>
        <v/>
      </c>
      <c r="BB16" s="429" t="str">
        <f t="shared" si="120"/>
        <v/>
      </c>
      <c r="BC16" s="430" t="str">
        <f t="shared" si="121"/>
        <v/>
      </c>
      <c r="BD16" s="440"/>
      <c r="BE16" s="441"/>
      <c r="BF16" s="441"/>
      <c r="BG16" s="441"/>
      <c r="BH16" s="441"/>
      <c r="BI16" s="441"/>
      <c r="BJ16" s="441"/>
      <c r="BK16" s="441"/>
      <c r="BL16" s="441"/>
      <c r="BM16" s="442"/>
      <c r="BN16" s="452"/>
      <c r="BO16" s="453"/>
      <c r="BP16" s="453"/>
      <c r="BQ16" s="453"/>
      <c r="BR16" s="453"/>
      <c r="BS16" s="453"/>
      <c r="BT16" s="453"/>
      <c r="BU16" s="453"/>
      <c r="BV16" s="453"/>
      <c r="BW16" s="454"/>
      <c r="BX16" s="379"/>
      <c r="BY16" s="464"/>
      <c r="BZ16" s="464"/>
      <c r="CA16" s="464"/>
      <c r="CB16" s="464"/>
      <c r="CC16" s="464"/>
      <c r="CD16" s="464"/>
      <c r="CE16" s="464"/>
      <c r="CF16" s="464"/>
      <c r="CG16" s="465"/>
      <c r="CH16" s="502"/>
      <c r="CI16" s="503"/>
      <c r="CJ16" s="503"/>
      <c r="CK16" s="503"/>
      <c r="CL16" s="503"/>
      <c r="CM16" s="503"/>
      <c r="CN16" s="503"/>
      <c r="CO16" s="503"/>
      <c r="CP16" s="503"/>
      <c r="CQ16" s="504"/>
      <c r="CR16" s="474"/>
      <c r="CS16" s="475"/>
      <c r="CT16" s="475"/>
      <c r="CU16" s="475"/>
      <c r="CV16" s="475"/>
      <c r="CW16" s="475"/>
      <c r="CX16" s="475"/>
      <c r="CY16" s="475"/>
      <c r="CZ16" s="475"/>
      <c r="DA16" s="476"/>
      <c r="DB16" s="483"/>
      <c r="DC16" s="484"/>
      <c r="DD16" s="484"/>
      <c r="DE16" s="484"/>
      <c r="DF16" s="484"/>
      <c r="DG16" s="484"/>
      <c r="DH16" s="484"/>
      <c r="DI16" s="484"/>
      <c r="DJ16" s="484"/>
      <c r="DK16" s="485"/>
      <c r="DL16" s="410"/>
      <c r="DM16" s="411"/>
    </row>
    <row r="17" spans="1:117" ht="15" customHeight="1" x14ac:dyDescent="0.25">
      <c r="A17" s="700"/>
      <c r="B17" s="859"/>
      <c r="C17" s="860"/>
      <c r="D17" s="861"/>
      <c r="E17" s="862"/>
      <c r="F17" s="863"/>
      <c r="G17" s="863"/>
      <c r="H17" s="863"/>
      <c r="I17" s="863"/>
      <c r="J17" s="863"/>
      <c r="K17" s="863"/>
      <c r="L17" s="863"/>
      <c r="M17" s="863"/>
      <c r="N17" s="864"/>
      <c r="O17" s="898"/>
      <c r="P17" s="865"/>
      <c r="Q17" s="865"/>
      <c r="R17" s="865"/>
      <c r="S17" s="865"/>
      <c r="T17" s="865"/>
      <c r="U17" s="865"/>
      <c r="V17" s="865"/>
      <c r="W17" s="865"/>
      <c r="X17" s="866"/>
      <c r="Y17" s="857"/>
      <c r="Z17" s="858"/>
      <c r="AA17" s="1047"/>
      <c r="AB17" s="888"/>
      <c r="AC17" s="889"/>
      <c r="AD17" s="890"/>
      <c r="AE17" s="1033"/>
      <c r="AF17" s="1038"/>
      <c r="AG17" s="1039"/>
      <c r="AH17" s="956"/>
      <c r="AI17" s="1050"/>
      <c r="AJ17" s="956"/>
      <c r="AK17" s="419" t="str">
        <f t="shared" si="90"/>
        <v/>
      </c>
      <c r="AL17" s="420" t="str">
        <f t="shared" si="91"/>
        <v/>
      </c>
      <c r="AM17" s="420" t="str">
        <f t="shared" si="92"/>
        <v/>
      </c>
      <c r="AN17" s="420" t="str">
        <f t="shared" si="93"/>
        <v/>
      </c>
      <c r="AO17" s="420" t="str">
        <f t="shared" si="94"/>
        <v/>
      </c>
      <c r="AP17" s="420" t="str">
        <f t="shared" si="95"/>
        <v/>
      </c>
      <c r="AQ17" s="420" t="str">
        <f t="shared" si="96"/>
        <v/>
      </c>
      <c r="AR17" s="420" t="str">
        <f t="shared" si="97"/>
        <v/>
      </c>
      <c r="AS17" s="420" t="str">
        <f t="shared" si="98"/>
        <v/>
      </c>
      <c r="AT17" s="421" t="str">
        <f t="shared" si="99"/>
        <v/>
      </c>
      <c r="AU17" s="428" t="str">
        <f t="shared" si="113"/>
        <v/>
      </c>
      <c r="AV17" s="429" t="str">
        <f t="shared" si="114"/>
        <v/>
      </c>
      <c r="AW17" s="429" t="str">
        <f t="shared" si="115"/>
        <v/>
      </c>
      <c r="AX17" s="429" t="str">
        <f t="shared" si="116"/>
        <v/>
      </c>
      <c r="AY17" s="429" t="str">
        <f t="shared" si="117"/>
        <v/>
      </c>
      <c r="AZ17" s="429" t="str">
        <f t="shared" si="118"/>
        <v/>
      </c>
      <c r="BA17" s="429" t="str">
        <f t="shared" si="119"/>
        <v/>
      </c>
      <c r="BB17" s="429" t="str">
        <f t="shared" si="120"/>
        <v/>
      </c>
      <c r="BC17" s="430" t="str">
        <f t="shared" si="121"/>
        <v/>
      </c>
      <c r="BD17" s="440"/>
      <c r="BE17" s="441"/>
      <c r="BF17" s="441"/>
      <c r="BG17" s="441"/>
      <c r="BH17" s="441"/>
      <c r="BI17" s="441"/>
      <c r="BJ17" s="441"/>
      <c r="BK17" s="441"/>
      <c r="BL17" s="441"/>
      <c r="BM17" s="442"/>
      <c r="BN17" s="452"/>
      <c r="BO17" s="453"/>
      <c r="BP17" s="453"/>
      <c r="BQ17" s="453"/>
      <c r="BR17" s="453"/>
      <c r="BS17" s="453"/>
      <c r="BT17" s="453"/>
      <c r="BU17" s="453"/>
      <c r="BV17" s="453"/>
      <c r="BW17" s="454"/>
      <c r="BX17" s="379"/>
      <c r="BY17" s="464"/>
      <c r="BZ17" s="464"/>
      <c r="CA17" s="464"/>
      <c r="CB17" s="464"/>
      <c r="CC17" s="464"/>
      <c r="CD17" s="464"/>
      <c r="CE17" s="464"/>
      <c r="CF17" s="464"/>
      <c r="CG17" s="465"/>
      <c r="CH17" s="502"/>
      <c r="CI17" s="503"/>
      <c r="CJ17" s="503"/>
      <c r="CK17" s="503"/>
      <c r="CL17" s="503"/>
      <c r="CM17" s="503"/>
      <c r="CN17" s="503"/>
      <c r="CO17" s="503"/>
      <c r="CP17" s="503"/>
      <c r="CQ17" s="504"/>
      <c r="CR17" s="474"/>
      <c r="CS17" s="475"/>
      <c r="CT17" s="475"/>
      <c r="CU17" s="475"/>
      <c r="CV17" s="475"/>
      <c r="CW17" s="475"/>
      <c r="CX17" s="475"/>
      <c r="CY17" s="475"/>
      <c r="CZ17" s="475"/>
      <c r="DA17" s="476"/>
      <c r="DB17" s="483"/>
      <c r="DC17" s="484"/>
      <c r="DD17" s="484"/>
      <c r="DE17" s="484"/>
      <c r="DF17" s="484"/>
      <c r="DG17" s="484"/>
      <c r="DH17" s="484"/>
      <c r="DI17" s="484"/>
      <c r="DJ17" s="484"/>
      <c r="DK17" s="485"/>
      <c r="DL17" s="410"/>
      <c r="DM17" s="411"/>
    </row>
    <row r="18" spans="1:117" ht="15" customHeight="1" x14ac:dyDescent="0.25">
      <c r="A18" s="700"/>
      <c r="B18" s="859"/>
      <c r="C18" s="860"/>
      <c r="D18" s="861"/>
      <c r="E18" s="862"/>
      <c r="F18" s="863"/>
      <c r="G18" s="863"/>
      <c r="H18" s="863"/>
      <c r="I18" s="863"/>
      <c r="J18" s="863"/>
      <c r="K18" s="863"/>
      <c r="L18" s="863"/>
      <c r="M18" s="863"/>
      <c r="N18" s="864"/>
      <c r="O18" s="898"/>
      <c r="P18" s="865"/>
      <c r="Q18" s="865"/>
      <c r="R18" s="865"/>
      <c r="S18" s="865"/>
      <c r="T18" s="865"/>
      <c r="U18" s="865"/>
      <c r="V18" s="865"/>
      <c r="W18" s="865"/>
      <c r="X18" s="866"/>
      <c r="Y18" s="857"/>
      <c r="Z18" s="858"/>
      <c r="AA18" s="1047"/>
      <c r="AB18" s="888"/>
      <c r="AC18" s="889"/>
      <c r="AD18" s="890"/>
      <c r="AE18" s="1033"/>
      <c r="AF18" s="1038"/>
      <c r="AG18" s="1039"/>
      <c r="AH18" s="956"/>
      <c r="AI18" s="1050"/>
      <c r="AJ18" s="956"/>
      <c r="AK18" s="419" t="str">
        <f t="shared" si="90"/>
        <v/>
      </c>
      <c r="AL18" s="420" t="str">
        <f t="shared" si="91"/>
        <v/>
      </c>
      <c r="AM18" s="420" t="str">
        <f t="shared" si="92"/>
        <v/>
      </c>
      <c r="AN18" s="420" t="str">
        <f t="shared" si="93"/>
        <v/>
      </c>
      <c r="AO18" s="420" t="str">
        <f t="shared" si="94"/>
        <v/>
      </c>
      <c r="AP18" s="420" t="str">
        <f t="shared" si="95"/>
        <v/>
      </c>
      <c r="AQ18" s="420" t="str">
        <f t="shared" si="96"/>
        <v/>
      </c>
      <c r="AR18" s="420" t="str">
        <f t="shared" si="97"/>
        <v/>
      </c>
      <c r="AS18" s="420" t="str">
        <f t="shared" si="98"/>
        <v/>
      </c>
      <c r="AT18" s="421" t="str">
        <f t="shared" si="99"/>
        <v/>
      </c>
      <c r="AU18" s="428" t="str">
        <f t="shared" si="113"/>
        <v/>
      </c>
      <c r="AV18" s="429" t="str">
        <f t="shared" si="114"/>
        <v/>
      </c>
      <c r="AW18" s="429" t="str">
        <f t="shared" si="115"/>
        <v/>
      </c>
      <c r="AX18" s="429" t="str">
        <f t="shared" si="116"/>
        <v/>
      </c>
      <c r="AY18" s="429" t="str">
        <f t="shared" si="117"/>
        <v/>
      </c>
      <c r="AZ18" s="429" t="str">
        <f t="shared" si="118"/>
        <v/>
      </c>
      <c r="BA18" s="429" t="str">
        <f t="shared" si="119"/>
        <v/>
      </c>
      <c r="BB18" s="429" t="str">
        <f t="shared" si="120"/>
        <v/>
      </c>
      <c r="BC18" s="430" t="str">
        <f t="shared" si="121"/>
        <v/>
      </c>
      <c r="BD18" s="440"/>
      <c r="BE18" s="441"/>
      <c r="BF18" s="441"/>
      <c r="BG18" s="441"/>
      <c r="BH18" s="441"/>
      <c r="BI18" s="441"/>
      <c r="BJ18" s="441"/>
      <c r="BK18" s="441"/>
      <c r="BL18" s="441"/>
      <c r="BM18" s="442"/>
      <c r="BN18" s="452"/>
      <c r="BO18" s="453"/>
      <c r="BP18" s="453"/>
      <c r="BQ18" s="453"/>
      <c r="BR18" s="453"/>
      <c r="BS18" s="453"/>
      <c r="BT18" s="453"/>
      <c r="BU18" s="453"/>
      <c r="BV18" s="453"/>
      <c r="BW18" s="454"/>
      <c r="BX18" s="379"/>
      <c r="BY18" s="464"/>
      <c r="BZ18" s="464"/>
      <c r="CA18" s="464"/>
      <c r="CB18" s="464"/>
      <c r="CC18" s="464"/>
      <c r="CD18" s="464"/>
      <c r="CE18" s="464"/>
      <c r="CF18" s="464"/>
      <c r="CG18" s="465"/>
      <c r="CH18" s="502"/>
      <c r="CI18" s="503"/>
      <c r="CJ18" s="503"/>
      <c r="CK18" s="503"/>
      <c r="CL18" s="503"/>
      <c r="CM18" s="503"/>
      <c r="CN18" s="503"/>
      <c r="CO18" s="503"/>
      <c r="CP18" s="503"/>
      <c r="CQ18" s="504"/>
      <c r="CR18" s="474"/>
      <c r="CS18" s="475"/>
      <c r="CT18" s="475"/>
      <c r="CU18" s="475"/>
      <c r="CV18" s="475"/>
      <c r="CW18" s="475"/>
      <c r="CX18" s="475"/>
      <c r="CY18" s="475"/>
      <c r="CZ18" s="475"/>
      <c r="DA18" s="476"/>
      <c r="DB18" s="483"/>
      <c r="DC18" s="484"/>
      <c r="DD18" s="484"/>
      <c r="DE18" s="484"/>
      <c r="DF18" s="484"/>
      <c r="DG18" s="484"/>
      <c r="DH18" s="484"/>
      <c r="DI18" s="484"/>
      <c r="DJ18" s="484"/>
      <c r="DK18" s="485"/>
      <c r="DL18" s="410"/>
      <c r="DM18" s="411"/>
    </row>
    <row r="19" spans="1:117" ht="15" customHeight="1" x14ac:dyDescent="0.25">
      <c r="A19" s="700"/>
      <c r="B19" s="859"/>
      <c r="C19" s="860"/>
      <c r="D19" s="861"/>
      <c r="E19" s="862"/>
      <c r="F19" s="863"/>
      <c r="G19" s="863"/>
      <c r="H19" s="863"/>
      <c r="I19" s="863"/>
      <c r="J19" s="863"/>
      <c r="K19" s="863"/>
      <c r="L19" s="863"/>
      <c r="M19" s="863"/>
      <c r="N19" s="864"/>
      <c r="O19" s="898"/>
      <c r="P19" s="865"/>
      <c r="Q19" s="865"/>
      <c r="R19" s="865"/>
      <c r="S19" s="865"/>
      <c r="T19" s="865"/>
      <c r="U19" s="865"/>
      <c r="V19" s="865"/>
      <c r="W19" s="865"/>
      <c r="X19" s="866"/>
      <c r="Y19" s="857"/>
      <c r="Z19" s="858"/>
      <c r="AA19" s="1047"/>
      <c r="AB19" s="888"/>
      <c r="AC19" s="889"/>
      <c r="AD19" s="890"/>
      <c r="AE19" s="1033"/>
      <c r="AF19" s="1038"/>
      <c r="AG19" s="1039"/>
      <c r="AH19" s="956"/>
      <c r="AI19" s="1050"/>
      <c r="AJ19" s="956"/>
      <c r="AK19" s="419" t="str">
        <f t="shared" si="90"/>
        <v/>
      </c>
      <c r="AL19" s="420" t="str">
        <f t="shared" si="91"/>
        <v/>
      </c>
      <c r="AM19" s="420" t="str">
        <f t="shared" si="92"/>
        <v/>
      </c>
      <c r="AN19" s="420" t="str">
        <f t="shared" si="93"/>
        <v/>
      </c>
      <c r="AO19" s="420" t="str">
        <f t="shared" si="94"/>
        <v/>
      </c>
      <c r="AP19" s="420" t="str">
        <f t="shared" si="95"/>
        <v/>
      </c>
      <c r="AQ19" s="420" t="str">
        <f t="shared" si="96"/>
        <v/>
      </c>
      <c r="AR19" s="420" t="str">
        <f t="shared" si="97"/>
        <v/>
      </c>
      <c r="AS19" s="420" t="str">
        <f t="shared" si="98"/>
        <v/>
      </c>
      <c r="AT19" s="421" t="str">
        <f t="shared" si="99"/>
        <v/>
      </c>
      <c r="AU19" s="428" t="str">
        <f t="shared" si="113"/>
        <v/>
      </c>
      <c r="AV19" s="429" t="str">
        <f t="shared" si="114"/>
        <v/>
      </c>
      <c r="AW19" s="429" t="str">
        <f t="shared" si="115"/>
        <v/>
      </c>
      <c r="AX19" s="429" t="str">
        <f t="shared" si="116"/>
        <v/>
      </c>
      <c r="AY19" s="429" t="str">
        <f t="shared" si="117"/>
        <v/>
      </c>
      <c r="AZ19" s="429" t="str">
        <f t="shared" si="118"/>
        <v/>
      </c>
      <c r="BA19" s="429" t="str">
        <f t="shared" si="119"/>
        <v/>
      </c>
      <c r="BB19" s="429" t="str">
        <f t="shared" si="120"/>
        <v/>
      </c>
      <c r="BC19" s="430" t="str">
        <f t="shared" si="121"/>
        <v/>
      </c>
      <c r="BD19" s="440"/>
      <c r="BE19" s="441"/>
      <c r="BF19" s="441"/>
      <c r="BG19" s="441"/>
      <c r="BH19" s="441"/>
      <c r="BI19" s="441"/>
      <c r="BJ19" s="441"/>
      <c r="BK19" s="441"/>
      <c r="BL19" s="441"/>
      <c r="BM19" s="442"/>
      <c r="BN19" s="452"/>
      <c r="BO19" s="453"/>
      <c r="BP19" s="453"/>
      <c r="BQ19" s="453"/>
      <c r="BR19" s="453"/>
      <c r="BS19" s="453"/>
      <c r="BT19" s="453"/>
      <c r="BU19" s="453"/>
      <c r="BV19" s="453"/>
      <c r="BW19" s="454"/>
      <c r="BX19" s="379"/>
      <c r="BY19" s="464"/>
      <c r="BZ19" s="464"/>
      <c r="CA19" s="464"/>
      <c r="CB19" s="464"/>
      <c r="CC19" s="464"/>
      <c r="CD19" s="464"/>
      <c r="CE19" s="464"/>
      <c r="CF19" s="464"/>
      <c r="CG19" s="465"/>
      <c r="CH19" s="502"/>
      <c r="CI19" s="503"/>
      <c r="CJ19" s="503"/>
      <c r="CK19" s="503"/>
      <c r="CL19" s="503"/>
      <c r="CM19" s="503"/>
      <c r="CN19" s="503"/>
      <c r="CO19" s="503"/>
      <c r="CP19" s="503"/>
      <c r="CQ19" s="504"/>
      <c r="CR19" s="474"/>
      <c r="CS19" s="475"/>
      <c r="CT19" s="475"/>
      <c r="CU19" s="475"/>
      <c r="CV19" s="475"/>
      <c r="CW19" s="475"/>
      <c r="CX19" s="475"/>
      <c r="CY19" s="475"/>
      <c r="CZ19" s="475"/>
      <c r="DA19" s="476"/>
      <c r="DB19" s="483"/>
      <c r="DC19" s="484"/>
      <c r="DD19" s="484"/>
      <c r="DE19" s="484"/>
      <c r="DF19" s="484"/>
      <c r="DG19" s="484"/>
      <c r="DH19" s="484"/>
      <c r="DI19" s="484"/>
      <c r="DJ19" s="484"/>
      <c r="DK19" s="485"/>
      <c r="DL19" s="410"/>
      <c r="DM19" s="411"/>
    </row>
    <row r="20" spans="1:117" ht="15" customHeight="1" x14ac:dyDescent="0.25">
      <c r="A20" s="700"/>
      <c r="B20" s="859"/>
      <c r="C20" s="860"/>
      <c r="D20" s="861"/>
      <c r="E20" s="862"/>
      <c r="F20" s="863"/>
      <c r="G20" s="863"/>
      <c r="H20" s="863"/>
      <c r="I20" s="863"/>
      <c r="J20" s="863"/>
      <c r="K20" s="863"/>
      <c r="L20" s="863"/>
      <c r="M20" s="863"/>
      <c r="N20" s="864"/>
      <c r="O20" s="898"/>
      <c r="P20" s="865"/>
      <c r="Q20" s="865"/>
      <c r="R20" s="865"/>
      <c r="S20" s="865"/>
      <c r="T20" s="865"/>
      <c r="U20" s="865"/>
      <c r="V20" s="865"/>
      <c r="W20" s="865"/>
      <c r="X20" s="866"/>
      <c r="Y20" s="857"/>
      <c r="Z20" s="858"/>
      <c r="AA20" s="1047"/>
      <c r="AB20" s="888"/>
      <c r="AC20" s="889"/>
      <c r="AD20" s="890"/>
      <c r="AE20" s="1033"/>
      <c r="AF20" s="1038"/>
      <c r="AG20" s="1039"/>
      <c r="AH20" s="956"/>
      <c r="AI20" s="1050"/>
      <c r="AJ20" s="956"/>
      <c r="AK20" s="419" t="str">
        <f t="shared" si="90"/>
        <v/>
      </c>
      <c r="AL20" s="420" t="str">
        <f t="shared" si="91"/>
        <v/>
      </c>
      <c r="AM20" s="420" t="str">
        <f t="shared" si="92"/>
        <v/>
      </c>
      <c r="AN20" s="420" t="str">
        <f t="shared" si="93"/>
        <v/>
      </c>
      <c r="AO20" s="420" t="str">
        <f t="shared" si="94"/>
        <v/>
      </c>
      <c r="AP20" s="420" t="str">
        <f t="shared" si="95"/>
        <v/>
      </c>
      <c r="AQ20" s="420" t="str">
        <f t="shared" si="96"/>
        <v/>
      </c>
      <c r="AR20" s="420" t="str">
        <f t="shared" si="97"/>
        <v/>
      </c>
      <c r="AS20" s="420" t="str">
        <f t="shared" si="98"/>
        <v/>
      </c>
      <c r="AT20" s="421" t="str">
        <f t="shared" si="99"/>
        <v/>
      </c>
      <c r="AU20" s="428" t="str">
        <f t="shared" si="113"/>
        <v/>
      </c>
      <c r="AV20" s="429" t="str">
        <f t="shared" si="114"/>
        <v/>
      </c>
      <c r="AW20" s="429" t="str">
        <f t="shared" si="115"/>
        <v/>
      </c>
      <c r="AX20" s="429" t="str">
        <f t="shared" si="116"/>
        <v/>
      </c>
      <c r="AY20" s="429" t="str">
        <f t="shared" si="117"/>
        <v/>
      </c>
      <c r="AZ20" s="429" t="str">
        <f t="shared" si="118"/>
        <v/>
      </c>
      <c r="BA20" s="429" t="str">
        <f t="shared" si="119"/>
        <v/>
      </c>
      <c r="BB20" s="429" t="str">
        <f t="shared" si="120"/>
        <v/>
      </c>
      <c r="BC20" s="430" t="str">
        <f t="shared" si="121"/>
        <v/>
      </c>
      <c r="BD20" s="440"/>
      <c r="BE20" s="441"/>
      <c r="BF20" s="441"/>
      <c r="BG20" s="441"/>
      <c r="BH20" s="441"/>
      <c r="BI20" s="441"/>
      <c r="BJ20" s="441"/>
      <c r="BK20" s="441"/>
      <c r="BL20" s="441"/>
      <c r="BM20" s="442"/>
      <c r="BN20" s="452"/>
      <c r="BO20" s="453"/>
      <c r="BP20" s="453"/>
      <c r="BQ20" s="453"/>
      <c r="BR20" s="453"/>
      <c r="BS20" s="453"/>
      <c r="BT20" s="453"/>
      <c r="BU20" s="453"/>
      <c r="BV20" s="453"/>
      <c r="BW20" s="454"/>
      <c r="BX20" s="379"/>
      <c r="BY20" s="464"/>
      <c r="BZ20" s="464"/>
      <c r="CA20" s="464"/>
      <c r="CB20" s="464"/>
      <c r="CC20" s="464"/>
      <c r="CD20" s="464"/>
      <c r="CE20" s="464"/>
      <c r="CF20" s="464"/>
      <c r="CG20" s="465"/>
      <c r="CH20" s="502"/>
      <c r="CI20" s="503"/>
      <c r="CJ20" s="503"/>
      <c r="CK20" s="503"/>
      <c r="CL20" s="503"/>
      <c r="CM20" s="503"/>
      <c r="CN20" s="503"/>
      <c r="CO20" s="503"/>
      <c r="CP20" s="503"/>
      <c r="CQ20" s="504"/>
      <c r="CR20" s="474"/>
      <c r="CS20" s="475"/>
      <c r="CT20" s="475"/>
      <c r="CU20" s="475"/>
      <c r="CV20" s="475"/>
      <c r="CW20" s="475"/>
      <c r="CX20" s="475"/>
      <c r="CY20" s="475"/>
      <c r="CZ20" s="475"/>
      <c r="DA20" s="476"/>
      <c r="DB20" s="483"/>
      <c r="DC20" s="484"/>
      <c r="DD20" s="484"/>
      <c r="DE20" s="484"/>
      <c r="DF20" s="484"/>
      <c r="DG20" s="484"/>
      <c r="DH20" s="484"/>
      <c r="DI20" s="484"/>
      <c r="DJ20" s="484"/>
      <c r="DK20" s="485"/>
      <c r="DL20" s="410"/>
      <c r="DM20" s="411"/>
    </row>
    <row r="21" spans="1:117" ht="15" customHeight="1" x14ac:dyDescent="0.25">
      <c r="A21" s="700"/>
      <c r="B21" s="859"/>
      <c r="C21" s="860"/>
      <c r="D21" s="861"/>
      <c r="E21" s="862"/>
      <c r="F21" s="863"/>
      <c r="G21" s="863"/>
      <c r="H21" s="863"/>
      <c r="I21" s="863"/>
      <c r="J21" s="863"/>
      <c r="K21" s="863"/>
      <c r="L21" s="863"/>
      <c r="M21" s="863"/>
      <c r="N21" s="864"/>
      <c r="O21" s="898"/>
      <c r="P21" s="865"/>
      <c r="Q21" s="865"/>
      <c r="R21" s="865"/>
      <c r="S21" s="865"/>
      <c r="T21" s="865"/>
      <c r="U21" s="865"/>
      <c r="V21" s="865"/>
      <c r="W21" s="865"/>
      <c r="X21" s="866"/>
      <c r="Y21" s="857"/>
      <c r="Z21" s="858"/>
      <c r="AA21" s="1047"/>
      <c r="AB21" s="888"/>
      <c r="AC21" s="889"/>
      <c r="AD21" s="890"/>
      <c r="AE21" s="1033"/>
      <c r="AF21" s="1038"/>
      <c r="AG21" s="1039"/>
      <c r="AH21" s="956"/>
      <c r="AI21" s="1050"/>
      <c r="AJ21" s="956"/>
      <c r="AK21" s="419" t="str">
        <f t="shared" si="90"/>
        <v/>
      </c>
      <c r="AL21" s="420" t="str">
        <f t="shared" si="91"/>
        <v/>
      </c>
      <c r="AM21" s="420" t="str">
        <f t="shared" si="92"/>
        <v/>
      </c>
      <c r="AN21" s="420" t="str">
        <f t="shared" si="93"/>
        <v/>
      </c>
      <c r="AO21" s="420" t="str">
        <f t="shared" si="94"/>
        <v/>
      </c>
      <c r="AP21" s="420" t="str">
        <f t="shared" si="95"/>
        <v/>
      </c>
      <c r="AQ21" s="420" t="str">
        <f t="shared" si="96"/>
        <v/>
      </c>
      <c r="AR21" s="420" t="str">
        <f t="shared" si="97"/>
        <v/>
      </c>
      <c r="AS21" s="420" t="str">
        <f t="shared" si="98"/>
        <v/>
      </c>
      <c r="AT21" s="421" t="str">
        <f t="shared" si="99"/>
        <v/>
      </c>
      <c r="AU21" s="428" t="str">
        <f t="shared" si="113"/>
        <v/>
      </c>
      <c r="AV21" s="429" t="str">
        <f t="shared" si="114"/>
        <v/>
      </c>
      <c r="AW21" s="429" t="str">
        <f t="shared" si="115"/>
        <v/>
      </c>
      <c r="AX21" s="429" t="str">
        <f t="shared" si="116"/>
        <v/>
      </c>
      <c r="AY21" s="429" t="str">
        <f t="shared" si="117"/>
        <v/>
      </c>
      <c r="AZ21" s="429" t="str">
        <f t="shared" si="118"/>
        <v/>
      </c>
      <c r="BA21" s="429" t="str">
        <f t="shared" si="119"/>
        <v/>
      </c>
      <c r="BB21" s="429" t="str">
        <f t="shared" si="120"/>
        <v/>
      </c>
      <c r="BC21" s="430" t="str">
        <f t="shared" si="121"/>
        <v/>
      </c>
      <c r="BD21" s="440"/>
      <c r="BE21" s="441"/>
      <c r="BF21" s="441"/>
      <c r="BG21" s="441"/>
      <c r="BH21" s="441"/>
      <c r="BI21" s="441"/>
      <c r="BJ21" s="441"/>
      <c r="BK21" s="441"/>
      <c r="BL21" s="441"/>
      <c r="BM21" s="442"/>
      <c r="BN21" s="452"/>
      <c r="BO21" s="453"/>
      <c r="BP21" s="453"/>
      <c r="BQ21" s="453"/>
      <c r="BR21" s="453"/>
      <c r="BS21" s="453"/>
      <c r="BT21" s="453"/>
      <c r="BU21" s="453"/>
      <c r="BV21" s="453"/>
      <c r="BW21" s="454"/>
      <c r="BX21" s="379"/>
      <c r="BY21" s="464"/>
      <c r="BZ21" s="464"/>
      <c r="CA21" s="464"/>
      <c r="CB21" s="464"/>
      <c r="CC21" s="464"/>
      <c r="CD21" s="464"/>
      <c r="CE21" s="464"/>
      <c r="CF21" s="464"/>
      <c r="CG21" s="465"/>
      <c r="CH21" s="502"/>
      <c r="CI21" s="503"/>
      <c r="CJ21" s="503"/>
      <c r="CK21" s="503"/>
      <c r="CL21" s="503"/>
      <c r="CM21" s="503"/>
      <c r="CN21" s="503"/>
      <c r="CO21" s="503"/>
      <c r="CP21" s="503"/>
      <c r="CQ21" s="504"/>
      <c r="CR21" s="474"/>
      <c r="CS21" s="475"/>
      <c r="CT21" s="475"/>
      <c r="CU21" s="475"/>
      <c r="CV21" s="475"/>
      <c r="CW21" s="475"/>
      <c r="CX21" s="475"/>
      <c r="CY21" s="475"/>
      <c r="CZ21" s="475"/>
      <c r="DA21" s="476"/>
      <c r="DB21" s="483"/>
      <c r="DC21" s="484"/>
      <c r="DD21" s="484"/>
      <c r="DE21" s="484"/>
      <c r="DF21" s="484"/>
      <c r="DG21" s="484"/>
      <c r="DH21" s="484"/>
      <c r="DI21" s="484"/>
      <c r="DJ21" s="484"/>
      <c r="DK21" s="485"/>
      <c r="DL21" s="410"/>
      <c r="DM21" s="411"/>
    </row>
    <row r="22" spans="1:117" ht="15" customHeight="1" x14ac:dyDescent="0.25">
      <c r="A22" s="700"/>
      <c r="B22" s="859"/>
      <c r="C22" s="860"/>
      <c r="D22" s="861"/>
      <c r="E22" s="862"/>
      <c r="F22" s="863"/>
      <c r="G22" s="863"/>
      <c r="H22" s="863"/>
      <c r="I22" s="863"/>
      <c r="J22" s="863"/>
      <c r="K22" s="863"/>
      <c r="L22" s="863"/>
      <c r="M22" s="863"/>
      <c r="N22" s="864"/>
      <c r="O22" s="898"/>
      <c r="P22" s="865"/>
      <c r="Q22" s="865"/>
      <c r="R22" s="865"/>
      <c r="S22" s="865"/>
      <c r="T22" s="865"/>
      <c r="U22" s="865"/>
      <c r="V22" s="865"/>
      <c r="W22" s="865"/>
      <c r="X22" s="866"/>
      <c r="Y22" s="857"/>
      <c r="Z22" s="858"/>
      <c r="AA22" s="1047"/>
      <c r="AB22" s="888"/>
      <c r="AC22" s="889"/>
      <c r="AD22" s="890"/>
      <c r="AE22" s="1033"/>
      <c r="AF22" s="1038"/>
      <c r="AG22" s="1039"/>
      <c r="AH22" s="956"/>
      <c r="AI22" s="1050"/>
      <c r="AJ22" s="956"/>
      <c r="AK22" s="419" t="str">
        <f t="shared" si="90"/>
        <v/>
      </c>
      <c r="AL22" s="420" t="str">
        <f t="shared" si="91"/>
        <v/>
      </c>
      <c r="AM22" s="420" t="str">
        <f t="shared" si="92"/>
        <v/>
      </c>
      <c r="AN22" s="420" t="str">
        <f t="shared" si="93"/>
        <v/>
      </c>
      <c r="AO22" s="420" t="str">
        <f t="shared" si="94"/>
        <v/>
      </c>
      <c r="AP22" s="420" t="str">
        <f t="shared" si="95"/>
        <v/>
      </c>
      <c r="AQ22" s="420" t="str">
        <f t="shared" si="96"/>
        <v/>
      </c>
      <c r="AR22" s="420" t="str">
        <f t="shared" si="97"/>
        <v/>
      </c>
      <c r="AS22" s="420" t="str">
        <f t="shared" si="98"/>
        <v/>
      </c>
      <c r="AT22" s="421" t="str">
        <f t="shared" si="99"/>
        <v/>
      </c>
      <c r="AU22" s="428" t="str">
        <f t="shared" si="113"/>
        <v/>
      </c>
      <c r="AV22" s="429" t="str">
        <f t="shared" si="114"/>
        <v/>
      </c>
      <c r="AW22" s="429" t="str">
        <f t="shared" si="115"/>
        <v/>
      </c>
      <c r="AX22" s="429" t="str">
        <f t="shared" si="116"/>
        <v/>
      </c>
      <c r="AY22" s="429" t="str">
        <f t="shared" si="117"/>
        <v/>
      </c>
      <c r="AZ22" s="429" t="str">
        <f t="shared" si="118"/>
        <v/>
      </c>
      <c r="BA22" s="429" t="str">
        <f t="shared" si="119"/>
        <v/>
      </c>
      <c r="BB22" s="429" t="str">
        <f t="shared" si="120"/>
        <v/>
      </c>
      <c r="BC22" s="430" t="str">
        <f t="shared" si="121"/>
        <v/>
      </c>
      <c r="BD22" s="440"/>
      <c r="BE22" s="441"/>
      <c r="BF22" s="441"/>
      <c r="BG22" s="441"/>
      <c r="BH22" s="441"/>
      <c r="BI22" s="441"/>
      <c r="BJ22" s="441"/>
      <c r="BK22" s="441"/>
      <c r="BL22" s="441"/>
      <c r="BM22" s="442"/>
      <c r="BN22" s="452"/>
      <c r="BO22" s="453"/>
      <c r="BP22" s="453"/>
      <c r="BQ22" s="453"/>
      <c r="BR22" s="453"/>
      <c r="BS22" s="453"/>
      <c r="BT22" s="453"/>
      <c r="BU22" s="453"/>
      <c r="BV22" s="453"/>
      <c r="BW22" s="454"/>
      <c r="BX22" s="379"/>
      <c r="BY22" s="464"/>
      <c r="BZ22" s="464"/>
      <c r="CA22" s="464"/>
      <c r="CB22" s="464"/>
      <c r="CC22" s="464"/>
      <c r="CD22" s="464"/>
      <c r="CE22" s="464"/>
      <c r="CF22" s="464"/>
      <c r="CG22" s="465"/>
      <c r="CH22" s="502"/>
      <c r="CI22" s="503"/>
      <c r="CJ22" s="503"/>
      <c r="CK22" s="503"/>
      <c r="CL22" s="503"/>
      <c r="CM22" s="503"/>
      <c r="CN22" s="503"/>
      <c r="CO22" s="503"/>
      <c r="CP22" s="503"/>
      <c r="CQ22" s="504"/>
      <c r="CR22" s="474"/>
      <c r="CS22" s="475"/>
      <c r="CT22" s="475"/>
      <c r="CU22" s="475"/>
      <c r="CV22" s="475"/>
      <c r="CW22" s="475"/>
      <c r="CX22" s="475"/>
      <c r="CY22" s="475"/>
      <c r="CZ22" s="475"/>
      <c r="DA22" s="476"/>
      <c r="DB22" s="483"/>
      <c r="DC22" s="484"/>
      <c r="DD22" s="484"/>
      <c r="DE22" s="484"/>
      <c r="DF22" s="484"/>
      <c r="DG22" s="484"/>
      <c r="DH22" s="484"/>
      <c r="DI22" s="484"/>
      <c r="DJ22" s="484"/>
      <c r="DK22" s="485"/>
      <c r="DL22" s="410"/>
      <c r="DM22" s="411"/>
    </row>
    <row r="23" spans="1:117" ht="15" customHeight="1" x14ac:dyDescent="0.25">
      <c r="A23" s="700"/>
      <c r="B23" s="859"/>
      <c r="C23" s="860"/>
      <c r="D23" s="861"/>
      <c r="E23" s="862"/>
      <c r="F23" s="863"/>
      <c r="G23" s="863"/>
      <c r="H23" s="863"/>
      <c r="I23" s="863"/>
      <c r="J23" s="863"/>
      <c r="K23" s="863"/>
      <c r="L23" s="863"/>
      <c r="M23" s="863"/>
      <c r="N23" s="864"/>
      <c r="O23" s="898"/>
      <c r="P23" s="865"/>
      <c r="Q23" s="865"/>
      <c r="R23" s="865"/>
      <c r="S23" s="865"/>
      <c r="T23" s="865"/>
      <c r="U23" s="865"/>
      <c r="V23" s="865"/>
      <c r="W23" s="865"/>
      <c r="X23" s="866"/>
      <c r="Y23" s="857"/>
      <c r="Z23" s="858"/>
      <c r="AA23" s="1047"/>
      <c r="AB23" s="888"/>
      <c r="AC23" s="889"/>
      <c r="AD23" s="890"/>
      <c r="AE23" s="1033"/>
      <c r="AF23" s="1038"/>
      <c r="AG23" s="1039"/>
      <c r="AH23" s="956"/>
      <c r="AI23" s="1050"/>
      <c r="AJ23" s="956"/>
      <c r="AK23" s="419" t="str">
        <f t="shared" si="90"/>
        <v/>
      </c>
      <c r="AL23" s="420" t="str">
        <f t="shared" si="91"/>
        <v/>
      </c>
      <c r="AM23" s="420" t="str">
        <f t="shared" si="92"/>
        <v/>
      </c>
      <c r="AN23" s="420" t="str">
        <f t="shared" si="93"/>
        <v/>
      </c>
      <c r="AO23" s="420" t="str">
        <f t="shared" si="94"/>
        <v/>
      </c>
      <c r="AP23" s="420" t="str">
        <f t="shared" si="95"/>
        <v/>
      </c>
      <c r="AQ23" s="420" t="str">
        <f t="shared" si="96"/>
        <v/>
      </c>
      <c r="AR23" s="420" t="str">
        <f t="shared" si="97"/>
        <v/>
      </c>
      <c r="AS23" s="420" t="str">
        <f t="shared" si="98"/>
        <v/>
      </c>
      <c r="AT23" s="421" t="str">
        <f t="shared" si="99"/>
        <v/>
      </c>
      <c r="AU23" s="428" t="str">
        <f t="shared" si="113"/>
        <v/>
      </c>
      <c r="AV23" s="429" t="str">
        <f t="shared" si="114"/>
        <v/>
      </c>
      <c r="AW23" s="429" t="str">
        <f t="shared" si="115"/>
        <v/>
      </c>
      <c r="AX23" s="429" t="str">
        <f t="shared" si="116"/>
        <v/>
      </c>
      <c r="AY23" s="429" t="str">
        <f t="shared" si="117"/>
        <v/>
      </c>
      <c r="AZ23" s="429" t="str">
        <f t="shared" si="118"/>
        <v/>
      </c>
      <c r="BA23" s="429" t="str">
        <f t="shared" si="119"/>
        <v/>
      </c>
      <c r="BB23" s="429" t="str">
        <f t="shared" si="120"/>
        <v/>
      </c>
      <c r="BC23" s="430" t="str">
        <f t="shared" si="121"/>
        <v/>
      </c>
      <c r="BD23" s="440"/>
      <c r="BE23" s="441"/>
      <c r="BF23" s="441"/>
      <c r="BG23" s="441"/>
      <c r="BH23" s="441"/>
      <c r="BI23" s="441"/>
      <c r="BJ23" s="441"/>
      <c r="BK23" s="441"/>
      <c r="BL23" s="441"/>
      <c r="BM23" s="442"/>
      <c r="BN23" s="452"/>
      <c r="BO23" s="453"/>
      <c r="BP23" s="453"/>
      <c r="BQ23" s="453"/>
      <c r="BR23" s="453"/>
      <c r="BS23" s="453"/>
      <c r="BT23" s="453"/>
      <c r="BU23" s="453"/>
      <c r="BV23" s="453"/>
      <c r="BW23" s="454"/>
      <c r="BX23" s="379"/>
      <c r="BY23" s="464"/>
      <c r="BZ23" s="464"/>
      <c r="CA23" s="464"/>
      <c r="CB23" s="464"/>
      <c r="CC23" s="464"/>
      <c r="CD23" s="464"/>
      <c r="CE23" s="464"/>
      <c r="CF23" s="464"/>
      <c r="CG23" s="465"/>
      <c r="CH23" s="502"/>
      <c r="CI23" s="503"/>
      <c r="CJ23" s="503"/>
      <c r="CK23" s="503"/>
      <c r="CL23" s="503"/>
      <c r="CM23" s="503"/>
      <c r="CN23" s="503"/>
      <c r="CO23" s="503"/>
      <c r="CP23" s="503"/>
      <c r="CQ23" s="504"/>
      <c r="CR23" s="474"/>
      <c r="CS23" s="475"/>
      <c r="CT23" s="475"/>
      <c r="CU23" s="475"/>
      <c r="CV23" s="475"/>
      <c r="CW23" s="475"/>
      <c r="CX23" s="475"/>
      <c r="CY23" s="475"/>
      <c r="CZ23" s="475"/>
      <c r="DA23" s="476"/>
      <c r="DB23" s="483"/>
      <c r="DC23" s="484"/>
      <c r="DD23" s="484"/>
      <c r="DE23" s="484"/>
      <c r="DF23" s="484"/>
      <c r="DG23" s="484"/>
      <c r="DH23" s="484"/>
      <c r="DI23" s="484"/>
      <c r="DJ23" s="484"/>
      <c r="DK23" s="485"/>
      <c r="DL23" s="410"/>
      <c r="DM23" s="411"/>
    </row>
    <row r="24" spans="1:117" ht="15" customHeight="1" x14ac:dyDescent="0.25">
      <c r="A24" s="700"/>
      <c r="B24" s="867"/>
      <c r="C24" s="860"/>
      <c r="D24" s="861"/>
      <c r="E24" s="862"/>
      <c r="F24" s="863"/>
      <c r="G24" s="863"/>
      <c r="H24" s="863"/>
      <c r="I24" s="863"/>
      <c r="J24" s="863"/>
      <c r="K24" s="863"/>
      <c r="L24" s="863"/>
      <c r="M24" s="863"/>
      <c r="N24" s="864"/>
      <c r="O24" s="898"/>
      <c r="P24" s="865"/>
      <c r="Q24" s="865"/>
      <c r="R24" s="865"/>
      <c r="S24" s="865"/>
      <c r="T24" s="865"/>
      <c r="U24" s="865"/>
      <c r="V24" s="865"/>
      <c r="W24" s="865"/>
      <c r="X24" s="866"/>
      <c r="Y24" s="857"/>
      <c r="Z24" s="858"/>
      <c r="AA24" s="1047"/>
      <c r="AB24" s="888"/>
      <c r="AC24" s="889"/>
      <c r="AD24" s="890"/>
      <c r="AE24" s="1033"/>
      <c r="AF24" s="1038"/>
      <c r="AG24" s="1039"/>
      <c r="AH24" s="956"/>
      <c r="AI24" s="1050"/>
      <c r="AJ24" s="956"/>
      <c r="AK24" s="419" t="str">
        <f t="shared" si="90"/>
        <v/>
      </c>
      <c r="AL24" s="420" t="str">
        <f t="shared" si="91"/>
        <v/>
      </c>
      <c r="AM24" s="420" t="str">
        <f t="shared" si="92"/>
        <v/>
      </c>
      <c r="AN24" s="420" t="str">
        <f t="shared" si="93"/>
        <v/>
      </c>
      <c r="AO24" s="420" t="str">
        <f t="shared" si="94"/>
        <v/>
      </c>
      <c r="AP24" s="420" t="str">
        <f t="shared" si="95"/>
        <v/>
      </c>
      <c r="AQ24" s="420" t="str">
        <f t="shared" si="96"/>
        <v/>
      </c>
      <c r="AR24" s="420" t="str">
        <f t="shared" si="97"/>
        <v/>
      </c>
      <c r="AS24" s="420" t="str">
        <f t="shared" si="98"/>
        <v/>
      </c>
      <c r="AT24" s="421" t="str">
        <f t="shared" si="99"/>
        <v/>
      </c>
      <c r="AU24" s="428" t="str">
        <f t="shared" si="113"/>
        <v/>
      </c>
      <c r="AV24" s="429" t="str">
        <f t="shared" si="114"/>
        <v/>
      </c>
      <c r="AW24" s="429" t="str">
        <f t="shared" si="115"/>
        <v/>
      </c>
      <c r="AX24" s="429" t="str">
        <f t="shared" si="116"/>
        <v/>
      </c>
      <c r="AY24" s="429" t="str">
        <f t="shared" si="117"/>
        <v/>
      </c>
      <c r="AZ24" s="429" t="str">
        <f t="shared" si="118"/>
        <v/>
      </c>
      <c r="BA24" s="429" t="str">
        <f t="shared" si="119"/>
        <v/>
      </c>
      <c r="BB24" s="429" t="str">
        <f t="shared" si="120"/>
        <v/>
      </c>
      <c r="BC24" s="430" t="str">
        <f t="shared" si="121"/>
        <v/>
      </c>
      <c r="BD24" s="440"/>
      <c r="BE24" s="441"/>
      <c r="BF24" s="441"/>
      <c r="BG24" s="441"/>
      <c r="BH24" s="441"/>
      <c r="BI24" s="441"/>
      <c r="BJ24" s="441"/>
      <c r="BK24" s="441"/>
      <c r="BL24" s="441"/>
      <c r="BM24" s="442"/>
      <c r="BN24" s="452"/>
      <c r="BO24" s="453"/>
      <c r="BP24" s="453"/>
      <c r="BQ24" s="453"/>
      <c r="BR24" s="453"/>
      <c r="BS24" s="453"/>
      <c r="BT24" s="453"/>
      <c r="BU24" s="453"/>
      <c r="BV24" s="453"/>
      <c r="BW24" s="454"/>
      <c r="BX24" s="379"/>
      <c r="BY24" s="464"/>
      <c r="BZ24" s="464"/>
      <c r="CA24" s="464"/>
      <c r="CB24" s="464"/>
      <c r="CC24" s="464"/>
      <c r="CD24" s="464"/>
      <c r="CE24" s="464"/>
      <c r="CF24" s="464"/>
      <c r="CG24" s="465"/>
      <c r="CH24" s="502"/>
      <c r="CI24" s="503"/>
      <c r="CJ24" s="503"/>
      <c r="CK24" s="503"/>
      <c r="CL24" s="503"/>
      <c r="CM24" s="503"/>
      <c r="CN24" s="503"/>
      <c r="CO24" s="503"/>
      <c r="CP24" s="503"/>
      <c r="CQ24" s="504"/>
      <c r="CR24" s="474"/>
      <c r="CS24" s="475"/>
      <c r="CT24" s="475"/>
      <c r="CU24" s="475"/>
      <c r="CV24" s="475"/>
      <c r="CW24" s="475"/>
      <c r="CX24" s="475"/>
      <c r="CY24" s="475"/>
      <c r="CZ24" s="475"/>
      <c r="DA24" s="476"/>
      <c r="DB24" s="483"/>
      <c r="DC24" s="484"/>
      <c r="DD24" s="484"/>
      <c r="DE24" s="484"/>
      <c r="DF24" s="484"/>
      <c r="DG24" s="484"/>
      <c r="DH24" s="484"/>
      <c r="DI24" s="484"/>
      <c r="DJ24" s="484"/>
      <c r="DK24" s="485"/>
      <c r="DL24" s="410"/>
      <c r="DM24" s="411"/>
    </row>
    <row r="25" spans="1:117" ht="15" customHeight="1" x14ac:dyDescent="0.25">
      <c r="A25" s="700"/>
      <c r="B25" s="867"/>
      <c r="C25" s="860"/>
      <c r="D25" s="861"/>
      <c r="E25" s="862"/>
      <c r="F25" s="863"/>
      <c r="G25" s="863"/>
      <c r="H25" s="863"/>
      <c r="I25" s="863"/>
      <c r="J25" s="863"/>
      <c r="K25" s="863"/>
      <c r="L25" s="863"/>
      <c r="M25" s="863"/>
      <c r="N25" s="864"/>
      <c r="O25" s="898"/>
      <c r="P25" s="865"/>
      <c r="Q25" s="865"/>
      <c r="R25" s="865"/>
      <c r="S25" s="865"/>
      <c r="T25" s="865"/>
      <c r="U25" s="865"/>
      <c r="V25" s="865"/>
      <c r="W25" s="865"/>
      <c r="X25" s="866"/>
      <c r="Y25" s="857"/>
      <c r="Z25" s="858"/>
      <c r="AA25" s="1047"/>
      <c r="AB25" s="888"/>
      <c r="AC25" s="889"/>
      <c r="AD25" s="890"/>
      <c r="AE25" s="1033"/>
      <c r="AF25" s="1038"/>
      <c r="AG25" s="1039"/>
      <c r="AH25" s="956"/>
      <c r="AI25" s="1050"/>
      <c r="AJ25" s="956"/>
      <c r="AK25" s="419" t="str">
        <f t="shared" si="90"/>
        <v/>
      </c>
      <c r="AL25" s="420" t="str">
        <f t="shared" si="91"/>
        <v/>
      </c>
      <c r="AM25" s="420" t="str">
        <f t="shared" si="92"/>
        <v/>
      </c>
      <c r="AN25" s="420" t="str">
        <f t="shared" si="93"/>
        <v/>
      </c>
      <c r="AO25" s="420" t="str">
        <f t="shared" si="94"/>
        <v/>
      </c>
      <c r="AP25" s="420" t="str">
        <f t="shared" si="95"/>
        <v/>
      </c>
      <c r="AQ25" s="420" t="str">
        <f t="shared" si="96"/>
        <v/>
      </c>
      <c r="AR25" s="420" t="str">
        <f t="shared" si="97"/>
        <v/>
      </c>
      <c r="AS25" s="420" t="str">
        <f t="shared" si="98"/>
        <v/>
      </c>
      <c r="AT25" s="421" t="str">
        <f t="shared" si="99"/>
        <v/>
      </c>
      <c r="AU25" s="428" t="str">
        <f t="shared" si="113"/>
        <v/>
      </c>
      <c r="AV25" s="429" t="str">
        <f t="shared" si="114"/>
        <v/>
      </c>
      <c r="AW25" s="429" t="str">
        <f t="shared" si="115"/>
        <v/>
      </c>
      <c r="AX25" s="429" t="str">
        <f t="shared" si="116"/>
        <v/>
      </c>
      <c r="AY25" s="429" t="str">
        <f t="shared" si="117"/>
        <v/>
      </c>
      <c r="AZ25" s="429" t="str">
        <f t="shared" si="118"/>
        <v/>
      </c>
      <c r="BA25" s="429" t="str">
        <f t="shared" si="119"/>
        <v/>
      </c>
      <c r="BB25" s="429" t="str">
        <f t="shared" si="120"/>
        <v/>
      </c>
      <c r="BC25" s="430" t="str">
        <f t="shared" si="121"/>
        <v/>
      </c>
      <c r="BD25" s="440"/>
      <c r="BE25" s="441"/>
      <c r="BF25" s="441"/>
      <c r="BG25" s="441"/>
      <c r="BH25" s="441"/>
      <c r="BI25" s="441"/>
      <c r="BJ25" s="441"/>
      <c r="BK25" s="441"/>
      <c r="BL25" s="441"/>
      <c r="BM25" s="442"/>
      <c r="BN25" s="452"/>
      <c r="BO25" s="453"/>
      <c r="BP25" s="453"/>
      <c r="BQ25" s="453"/>
      <c r="BR25" s="453"/>
      <c r="BS25" s="453"/>
      <c r="BT25" s="453"/>
      <c r="BU25" s="453"/>
      <c r="BV25" s="453"/>
      <c r="BW25" s="454"/>
      <c r="BX25" s="379"/>
      <c r="BY25" s="464"/>
      <c r="BZ25" s="464"/>
      <c r="CA25" s="464"/>
      <c r="CB25" s="464"/>
      <c r="CC25" s="464"/>
      <c r="CD25" s="464"/>
      <c r="CE25" s="464"/>
      <c r="CF25" s="464"/>
      <c r="CG25" s="465"/>
      <c r="CH25" s="502"/>
      <c r="CI25" s="503"/>
      <c r="CJ25" s="503"/>
      <c r="CK25" s="503"/>
      <c r="CL25" s="503"/>
      <c r="CM25" s="503"/>
      <c r="CN25" s="503"/>
      <c r="CO25" s="503"/>
      <c r="CP25" s="503"/>
      <c r="CQ25" s="504"/>
      <c r="CR25" s="474"/>
      <c r="CS25" s="475"/>
      <c r="CT25" s="475"/>
      <c r="CU25" s="475"/>
      <c r="CV25" s="475"/>
      <c r="CW25" s="475"/>
      <c r="CX25" s="475"/>
      <c r="CY25" s="475"/>
      <c r="CZ25" s="475"/>
      <c r="DA25" s="476"/>
      <c r="DB25" s="483"/>
      <c r="DC25" s="484"/>
      <c r="DD25" s="484"/>
      <c r="DE25" s="484"/>
      <c r="DF25" s="484"/>
      <c r="DG25" s="484"/>
      <c r="DH25" s="484"/>
      <c r="DI25" s="484"/>
      <c r="DJ25" s="484"/>
      <c r="DK25" s="485"/>
      <c r="DL25" s="410"/>
      <c r="DM25" s="411"/>
    </row>
    <row r="26" spans="1:117" ht="15" customHeight="1" x14ac:dyDescent="0.25">
      <c r="A26" s="806"/>
      <c r="B26" s="868"/>
      <c r="C26" s="869"/>
      <c r="D26" s="870"/>
      <c r="E26" s="871"/>
      <c r="F26" s="872"/>
      <c r="G26" s="872"/>
      <c r="H26" s="872"/>
      <c r="I26" s="872"/>
      <c r="J26" s="872"/>
      <c r="K26" s="872"/>
      <c r="L26" s="872"/>
      <c r="M26" s="872"/>
      <c r="N26" s="873"/>
      <c r="O26" s="899"/>
      <c r="P26" s="874"/>
      <c r="Q26" s="874"/>
      <c r="R26" s="874"/>
      <c r="S26" s="874"/>
      <c r="T26" s="874"/>
      <c r="U26" s="874"/>
      <c r="V26" s="874"/>
      <c r="W26" s="874"/>
      <c r="X26" s="875"/>
      <c r="Y26" s="876"/>
      <c r="Z26" s="877"/>
      <c r="AA26" s="1048"/>
      <c r="AB26" s="891"/>
      <c r="AC26" s="892"/>
      <c r="AD26" s="893"/>
      <c r="AE26" s="1034"/>
      <c r="AF26" s="1040"/>
      <c r="AG26" s="1041"/>
      <c r="AH26" s="957"/>
      <c r="AI26" s="1051"/>
      <c r="AJ26" s="957"/>
      <c r="AK26" s="808" t="str">
        <f t="shared" si="90"/>
        <v/>
      </c>
      <c r="AL26" s="809" t="str">
        <f t="shared" si="91"/>
        <v/>
      </c>
      <c r="AM26" s="809" t="str">
        <f t="shared" si="92"/>
        <v/>
      </c>
      <c r="AN26" s="809" t="str">
        <f t="shared" si="93"/>
        <v/>
      </c>
      <c r="AO26" s="809" t="str">
        <f t="shared" si="94"/>
        <v/>
      </c>
      <c r="AP26" s="809" t="str">
        <f t="shared" si="95"/>
        <v/>
      </c>
      <c r="AQ26" s="809" t="str">
        <f t="shared" si="96"/>
        <v/>
      </c>
      <c r="AR26" s="809" t="str">
        <f t="shared" si="97"/>
        <v/>
      </c>
      <c r="AS26" s="809" t="str">
        <f t="shared" si="98"/>
        <v/>
      </c>
      <c r="AT26" s="810" t="str">
        <f t="shared" si="99"/>
        <v/>
      </c>
      <c r="AU26" s="811" t="str">
        <f t="shared" si="113"/>
        <v/>
      </c>
      <c r="AV26" s="812" t="str">
        <f t="shared" si="114"/>
        <v/>
      </c>
      <c r="AW26" s="812" t="str">
        <f t="shared" si="115"/>
        <v/>
      </c>
      <c r="AX26" s="812" t="str">
        <f t="shared" si="116"/>
        <v/>
      </c>
      <c r="AY26" s="812" t="str">
        <f t="shared" si="117"/>
        <v/>
      </c>
      <c r="AZ26" s="812" t="str">
        <f t="shared" si="118"/>
        <v/>
      </c>
      <c r="BA26" s="812" t="str">
        <f t="shared" si="119"/>
        <v/>
      </c>
      <c r="BB26" s="812" t="str">
        <f t="shared" si="120"/>
        <v/>
      </c>
      <c r="BC26" s="813" t="str">
        <f t="shared" si="121"/>
        <v/>
      </c>
      <c r="BD26" s="814"/>
      <c r="BE26" s="815"/>
      <c r="BF26" s="815"/>
      <c r="BG26" s="815"/>
      <c r="BH26" s="815"/>
      <c r="BI26" s="815"/>
      <c r="BJ26" s="815"/>
      <c r="BK26" s="815"/>
      <c r="BL26" s="815"/>
      <c r="BM26" s="816"/>
      <c r="BN26" s="817"/>
      <c r="BO26" s="818"/>
      <c r="BP26" s="818"/>
      <c r="BQ26" s="818"/>
      <c r="BR26" s="818"/>
      <c r="BS26" s="818"/>
      <c r="BT26" s="818"/>
      <c r="BU26" s="818"/>
      <c r="BV26" s="818"/>
      <c r="BW26" s="819"/>
      <c r="BX26" s="820"/>
      <c r="BY26" s="821"/>
      <c r="BZ26" s="821"/>
      <c r="CA26" s="821"/>
      <c r="CB26" s="821"/>
      <c r="CC26" s="821"/>
      <c r="CD26" s="821"/>
      <c r="CE26" s="821"/>
      <c r="CF26" s="821"/>
      <c r="CG26" s="822"/>
      <c r="CH26" s="823"/>
      <c r="CI26" s="824"/>
      <c r="CJ26" s="824"/>
      <c r="CK26" s="824"/>
      <c r="CL26" s="824"/>
      <c r="CM26" s="824"/>
      <c r="CN26" s="824"/>
      <c r="CO26" s="824"/>
      <c r="CP26" s="824"/>
      <c r="CQ26" s="825"/>
      <c r="CR26" s="826"/>
      <c r="CS26" s="827"/>
      <c r="CT26" s="827"/>
      <c r="CU26" s="827"/>
      <c r="CV26" s="827"/>
      <c r="CW26" s="827"/>
      <c r="CX26" s="827"/>
      <c r="CY26" s="827"/>
      <c r="CZ26" s="827"/>
      <c r="DA26" s="828"/>
      <c r="DB26" s="829"/>
      <c r="DC26" s="830"/>
      <c r="DD26" s="830"/>
      <c r="DE26" s="830"/>
      <c r="DF26" s="830"/>
      <c r="DG26" s="830"/>
      <c r="DH26" s="830"/>
      <c r="DI26" s="830"/>
      <c r="DJ26" s="830"/>
      <c r="DK26" s="831"/>
      <c r="DL26" s="832"/>
      <c r="DM26" s="807"/>
    </row>
    <row r="27" spans="1:117" ht="15" customHeight="1" thickBot="1" x14ac:dyDescent="0.3">
      <c r="A27" s="409"/>
      <c r="B27" s="878"/>
      <c r="C27" s="879"/>
      <c r="D27" s="880"/>
      <c r="E27" s="881"/>
      <c r="F27" s="882"/>
      <c r="G27" s="882"/>
      <c r="H27" s="882"/>
      <c r="I27" s="882"/>
      <c r="J27" s="882"/>
      <c r="K27" s="882"/>
      <c r="L27" s="882"/>
      <c r="M27" s="882"/>
      <c r="N27" s="883"/>
      <c r="O27" s="900"/>
      <c r="P27" s="884"/>
      <c r="Q27" s="884"/>
      <c r="R27" s="884"/>
      <c r="S27" s="884"/>
      <c r="T27" s="884"/>
      <c r="U27" s="884"/>
      <c r="V27" s="884"/>
      <c r="W27" s="884"/>
      <c r="X27" s="885"/>
      <c r="Y27" s="886"/>
      <c r="Z27" s="887"/>
      <c r="AA27" s="1049"/>
      <c r="AB27" s="894"/>
      <c r="AC27" s="895"/>
      <c r="AD27" s="896"/>
      <c r="AE27" s="1035"/>
      <c r="AF27" s="1042"/>
      <c r="AG27" s="1043"/>
      <c r="AH27" s="958"/>
      <c r="AI27" s="1052"/>
      <c r="AJ27" s="958"/>
      <c r="AK27" s="422" t="str">
        <f t="shared" si="90"/>
        <v/>
      </c>
      <c r="AL27" s="423" t="str">
        <f t="shared" si="91"/>
        <v/>
      </c>
      <c r="AM27" s="423" t="str">
        <f t="shared" si="92"/>
        <v/>
      </c>
      <c r="AN27" s="423" t="str">
        <f t="shared" si="93"/>
        <v/>
      </c>
      <c r="AO27" s="423" t="str">
        <f t="shared" si="94"/>
        <v/>
      </c>
      <c r="AP27" s="423" t="str">
        <f t="shared" si="95"/>
        <v/>
      </c>
      <c r="AQ27" s="423" t="str">
        <f t="shared" si="96"/>
        <v/>
      </c>
      <c r="AR27" s="423" t="str">
        <f t="shared" si="97"/>
        <v/>
      </c>
      <c r="AS27" s="423" t="str">
        <f t="shared" si="98"/>
        <v/>
      </c>
      <c r="AT27" s="424" t="str">
        <f t="shared" si="99"/>
        <v/>
      </c>
      <c r="AU27" s="431" t="str">
        <f t="shared" si="113"/>
        <v/>
      </c>
      <c r="AV27" s="432" t="str">
        <f t="shared" si="114"/>
        <v/>
      </c>
      <c r="AW27" s="432" t="str">
        <f t="shared" si="115"/>
        <v/>
      </c>
      <c r="AX27" s="432" t="str">
        <f t="shared" si="116"/>
        <v/>
      </c>
      <c r="AY27" s="432" t="str">
        <f t="shared" si="117"/>
        <v/>
      </c>
      <c r="AZ27" s="432" t="str">
        <f t="shared" si="118"/>
        <v/>
      </c>
      <c r="BA27" s="432" t="str">
        <f t="shared" si="119"/>
        <v/>
      </c>
      <c r="BB27" s="432" t="str">
        <f t="shared" si="120"/>
        <v/>
      </c>
      <c r="BC27" s="433" t="str">
        <f t="shared" si="121"/>
        <v/>
      </c>
      <c r="BD27" s="443"/>
      <c r="BE27" s="444"/>
      <c r="BF27" s="444"/>
      <c r="BG27" s="444"/>
      <c r="BH27" s="444"/>
      <c r="BI27" s="444"/>
      <c r="BJ27" s="444"/>
      <c r="BK27" s="444"/>
      <c r="BL27" s="444"/>
      <c r="BM27" s="445"/>
      <c r="BN27" s="455"/>
      <c r="BO27" s="456"/>
      <c r="BP27" s="456"/>
      <c r="BQ27" s="456"/>
      <c r="BR27" s="456"/>
      <c r="BS27" s="456"/>
      <c r="BT27" s="456"/>
      <c r="BU27" s="456"/>
      <c r="BV27" s="456"/>
      <c r="BW27" s="457"/>
      <c r="BX27" s="466"/>
      <c r="BY27" s="467"/>
      <c r="BZ27" s="467"/>
      <c r="CA27" s="467"/>
      <c r="CB27" s="467"/>
      <c r="CC27" s="467"/>
      <c r="CD27" s="467"/>
      <c r="CE27" s="467"/>
      <c r="CF27" s="467"/>
      <c r="CG27" s="468"/>
      <c r="CH27" s="505"/>
      <c r="CI27" s="506"/>
      <c r="CJ27" s="506"/>
      <c r="CK27" s="506"/>
      <c r="CL27" s="506"/>
      <c r="CM27" s="506"/>
      <c r="CN27" s="506"/>
      <c r="CO27" s="506"/>
      <c r="CP27" s="506"/>
      <c r="CQ27" s="507"/>
      <c r="CR27" s="477"/>
      <c r="CS27" s="478"/>
      <c r="CT27" s="478"/>
      <c r="CU27" s="478"/>
      <c r="CV27" s="478"/>
      <c r="CW27" s="478"/>
      <c r="CX27" s="478"/>
      <c r="CY27" s="478"/>
      <c r="CZ27" s="478"/>
      <c r="DA27" s="479"/>
      <c r="DB27" s="486"/>
      <c r="DC27" s="487"/>
      <c r="DD27" s="487"/>
      <c r="DE27" s="487"/>
      <c r="DF27" s="487"/>
      <c r="DG27" s="487"/>
      <c r="DH27" s="487"/>
      <c r="DI27" s="487"/>
      <c r="DJ27" s="487"/>
      <c r="DK27" s="488"/>
      <c r="DL27" s="412"/>
      <c r="DM27" s="413"/>
    </row>
    <row r="28" spans="1:117" ht="13.5" customHeight="1" thickBot="1" x14ac:dyDescent="0.25">
      <c r="A28" s="80"/>
      <c r="AE28" s="1053">
        <f>COUNTIF(AE4:AE27,"y")</f>
        <v>3</v>
      </c>
      <c r="AF28" s="1054">
        <f t="shared" ref="AF28:AJ28" si="132">COUNTIF(AF4:AF27,"y")</f>
        <v>2</v>
      </c>
      <c r="AG28" s="1054">
        <f t="shared" si="132"/>
        <v>3</v>
      </c>
      <c r="AH28" s="1054">
        <f t="shared" si="132"/>
        <v>9</v>
      </c>
      <c r="AI28" s="1054">
        <f t="shared" si="132"/>
        <v>3</v>
      </c>
      <c r="AJ28" s="1055">
        <f t="shared" si="132"/>
        <v>3</v>
      </c>
      <c r="AU28"/>
      <c r="AV28"/>
      <c r="BE28" s="1"/>
      <c r="BF28" s="1"/>
      <c r="DD28"/>
      <c r="DE28" s="1"/>
      <c r="DF28" s="1"/>
      <c r="DG28" s="1"/>
    </row>
    <row r="29" spans="1:117" ht="41.25" customHeight="1" thickBot="1" x14ac:dyDescent="0.3">
      <c r="A29" s="80"/>
      <c r="AE29" s="1228" t="s">
        <v>486</v>
      </c>
      <c r="AF29" s="1229"/>
      <c r="AG29" s="1229"/>
      <c r="AH29" s="1229"/>
      <c r="AI29" s="1229"/>
      <c r="AJ29" s="1230"/>
      <c r="AK29" s="64" t="s">
        <v>37</v>
      </c>
      <c r="AU29"/>
      <c r="AV29"/>
      <c r="BE29" s="1"/>
      <c r="BF29" s="1"/>
      <c r="DD29"/>
      <c r="DE29" s="1"/>
      <c r="DF29" s="1"/>
      <c r="DG29" s="1"/>
      <c r="DJ29" s="643" t="s">
        <v>443</v>
      </c>
      <c r="DK29" s="644">
        <f>MIN(foodPUfirst)</f>
        <v>1</v>
      </c>
      <c r="DL29" s="645">
        <f>MIN(foodPUdays)</f>
        <v>2</v>
      </c>
    </row>
    <row r="30" spans="1:117" ht="13.5" thickBot="1" x14ac:dyDescent="0.25">
      <c r="A30" s="80"/>
      <c r="AE30" s="723"/>
      <c r="AF30" s="723"/>
      <c r="AG30" s="723"/>
      <c r="AH30" s="723"/>
      <c r="AI30" s="723"/>
      <c r="AJ30" s="723"/>
      <c r="AK30" s="64" t="s">
        <v>37</v>
      </c>
      <c r="AU30"/>
      <c r="BE30" s="1"/>
      <c r="DD30"/>
      <c r="DE30" s="1"/>
      <c r="DF30" s="1"/>
      <c r="DG30" s="1"/>
      <c r="DJ30" s="646" t="s">
        <v>444</v>
      </c>
      <c r="DK30" s="647">
        <f>MAX(DL5:DL27)</f>
        <v>3</v>
      </c>
      <c r="DL30" s="648">
        <f>MAX(foodPUdays)</f>
        <v>5</v>
      </c>
    </row>
  </sheetData>
  <sheetProtection selectLockedCells="1"/>
  <mergeCells count="17">
    <mergeCell ref="AK2:AT2"/>
    <mergeCell ref="DL2:DM2"/>
    <mergeCell ref="CH2:CQ2"/>
    <mergeCell ref="AU2:BC2"/>
    <mergeCell ref="BD2:BM2"/>
    <mergeCell ref="BN2:BW2"/>
    <mergeCell ref="BX2:CG2"/>
    <mergeCell ref="CR2:DA2"/>
    <mergeCell ref="DB2:DK2"/>
    <mergeCell ref="Y2:AA2"/>
    <mergeCell ref="AE29:AJ29"/>
    <mergeCell ref="AE2:AJ2"/>
    <mergeCell ref="B2:D2"/>
    <mergeCell ref="A1:A3"/>
    <mergeCell ref="E2:N2"/>
    <mergeCell ref="O2:X2"/>
    <mergeCell ref="AB2:AD2"/>
  </mergeCells>
  <pageMargins left="0.75" right="0.75" top="1" bottom="1" header="0.5" footer="0.5"/>
  <pageSetup scale="10"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1BE4E-5504-4C6A-A8A9-D9009D170C57}">
  <sheetPr codeName="Sheet9">
    <tabColor rgb="FFFF0000"/>
    <pageSetUpPr fitToPage="1"/>
  </sheetPr>
  <dimension ref="A1:BF29"/>
  <sheetViews>
    <sheetView zoomScale="98" zoomScaleNormal="98" workbookViewId="0">
      <pane xSplit="1" ySplit="2" topLeftCell="Z3" activePane="bottomRight" state="frozenSplit"/>
      <selection activeCell="AI5" sqref="AI5:AI27"/>
      <selection pane="topRight" activeCell="AI5" sqref="AI5:AI27"/>
      <selection pane="bottomLeft" activeCell="AI5" sqref="AI5:AI27"/>
      <selection pane="bottomRight" activeCell="BF14" sqref="BF14"/>
    </sheetView>
  </sheetViews>
  <sheetFormatPr defaultRowHeight="12.75" x14ac:dyDescent="0.2"/>
  <cols>
    <col min="1" max="1" width="11.85546875" style="2" customWidth="1"/>
    <col min="2" max="2" width="4.28515625" style="2" customWidth="1"/>
    <col min="3" max="3" width="14.140625" style="1" customWidth="1"/>
    <col min="4" max="58" width="15.5703125" style="1" customWidth="1"/>
    <col min="59" max="59" width="18" customWidth="1"/>
  </cols>
  <sheetData>
    <row r="1" spans="1:58" x14ac:dyDescent="0.2">
      <c r="A1" s="1268" t="s">
        <v>1</v>
      </c>
      <c r="B1" s="1068"/>
      <c r="C1" s="951">
        <v>1</v>
      </c>
      <c r="D1" s="400">
        <f>C1+1</f>
        <v>2</v>
      </c>
      <c r="E1" s="400">
        <f t="shared" ref="E1:AX1" si="0">D1+1</f>
        <v>3</v>
      </c>
      <c r="F1" s="905">
        <f t="shared" si="0"/>
        <v>4</v>
      </c>
      <c r="G1" s="905">
        <f t="shared" si="0"/>
        <v>5</v>
      </c>
      <c r="H1" s="907">
        <f t="shared" si="0"/>
        <v>6</v>
      </c>
      <c r="I1" s="400">
        <f t="shared" si="0"/>
        <v>7</v>
      </c>
      <c r="J1" s="400">
        <f t="shared" si="0"/>
        <v>8</v>
      </c>
      <c r="K1" s="400">
        <f t="shared" si="0"/>
        <v>9</v>
      </c>
      <c r="L1" s="400">
        <f t="shared" si="0"/>
        <v>10</v>
      </c>
      <c r="M1" s="400">
        <f t="shared" si="0"/>
        <v>11</v>
      </c>
      <c r="N1" s="400">
        <f t="shared" si="0"/>
        <v>12</v>
      </c>
      <c r="O1" s="400">
        <f t="shared" si="0"/>
        <v>13</v>
      </c>
      <c r="P1" s="400">
        <f t="shared" si="0"/>
        <v>14</v>
      </c>
      <c r="Q1" s="400">
        <f t="shared" si="0"/>
        <v>15</v>
      </c>
      <c r="R1" s="400">
        <f t="shared" si="0"/>
        <v>16</v>
      </c>
      <c r="S1" s="400">
        <f t="shared" si="0"/>
        <v>17</v>
      </c>
      <c r="T1" s="400">
        <f t="shared" si="0"/>
        <v>18</v>
      </c>
      <c r="U1" s="400">
        <f t="shared" si="0"/>
        <v>19</v>
      </c>
      <c r="V1" s="400">
        <f t="shared" si="0"/>
        <v>20</v>
      </c>
      <c r="W1" s="400">
        <f t="shared" si="0"/>
        <v>21</v>
      </c>
      <c r="X1" s="400">
        <f t="shared" si="0"/>
        <v>22</v>
      </c>
      <c r="Y1" s="400">
        <f t="shared" si="0"/>
        <v>23</v>
      </c>
      <c r="Z1" s="400">
        <f t="shared" si="0"/>
        <v>24</v>
      </c>
      <c r="AA1" s="400">
        <f t="shared" si="0"/>
        <v>25</v>
      </c>
      <c r="AB1" s="400">
        <f t="shared" si="0"/>
        <v>26</v>
      </c>
      <c r="AC1" s="400">
        <f t="shared" si="0"/>
        <v>27</v>
      </c>
      <c r="AD1" s="1075">
        <f t="shared" si="0"/>
        <v>28</v>
      </c>
      <c r="AE1" s="1075">
        <f t="shared" si="0"/>
        <v>29</v>
      </c>
      <c r="AF1" s="1075">
        <f t="shared" si="0"/>
        <v>30</v>
      </c>
      <c r="AG1" s="1029">
        <f t="shared" si="0"/>
        <v>31</v>
      </c>
      <c r="AH1" s="1075">
        <f t="shared" si="0"/>
        <v>32</v>
      </c>
      <c r="AI1" s="1029">
        <f t="shared" si="0"/>
        <v>33</v>
      </c>
      <c r="AJ1" s="400">
        <f t="shared" si="0"/>
        <v>34</v>
      </c>
      <c r="AK1" s="400">
        <f t="shared" si="0"/>
        <v>35</v>
      </c>
      <c r="AL1" s="400">
        <f t="shared" si="0"/>
        <v>36</v>
      </c>
      <c r="AM1" s="400">
        <f t="shared" si="0"/>
        <v>37</v>
      </c>
      <c r="AN1" s="400">
        <f t="shared" si="0"/>
        <v>38</v>
      </c>
      <c r="AO1" s="400">
        <f t="shared" si="0"/>
        <v>39</v>
      </c>
      <c r="AP1" s="400">
        <f t="shared" si="0"/>
        <v>40</v>
      </c>
      <c r="AQ1" s="400">
        <f t="shared" si="0"/>
        <v>41</v>
      </c>
      <c r="AR1" s="400">
        <f t="shared" si="0"/>
        <v>42</v>
      </c>
      <c r="AS1" s="400">
        <f t="shared" si="0"/>
        <v>43</v>
      </c>
      <c r="AT1" s="400">
        <f t="shared" si="0"/>
        <v>44</v>
      </c>
      <c r="AU1" s="400">
        <f t="shared" si="0"/>
        <v>45</v>
      </c>
      <c r="AV1" s="400">
        <f t="shared" si="0"/>
        <v>46</v>
      </c>
      <c r="AW1" s="400">
        <f t="shared" si="0"/>
        <v>47</v>
      </c>
      <c r="AX1" s="400">
        <f t="shared" si="0"/>
        <v>48</v>
      </c>
      <c r="AY1" s="400">
        <f t="shared" ref="AY1" si="1">AX1+1</f>
        <v>49</v>
      </c>
      <c r="AZ1" s="400">
        <f t="shared" ref="AZ1" si="2">AY1+1</f>
        <v>50</v>
      </c>
      <c r="BA1" s="400">
        <f t="shared" ref="BA1" si="3">AZ1+1</f>
        <v>51</v>
      </c>
      <c r="BB1" s="400">
        <f t="shared" ref="BB1" si="4">BA1+1</f>
        <v>52</v>
      </c>
      <c r="BC1" s="400">
        <f t="shared" ref="BC1" si="5">BB1+1</f>
        <v>53</v>
      </c>
      <c r="BD1" s="400">
        <f t="shared" ref="BD1" si="6">BC1+1</f>
        <v>54</v>
      </c>
      <c r="BE1" s="400">
        <f t="shared" ref="BE1" si="7">BD1+1</f>
        <v>55</v>
      </c>
      <c r="BF1" s="952">
        <f t="shared" ref="BF1" si="8">BE1+1</f>
        <v>56</v>
      </c>
    </row>
    <row r="2" spans="1:58" s="4" customFormat="1" ht="56.25" customHeight="1" thickBot="1" x14ac:dyDescent="0.25">
      <c r="A2" s="1269"/>
      <c r="B2" s="1069"/>
      <c r="C2" s="953" t="str">
        <f t="shared" ref="C2:D2" si="9">INDEX(program_table,C1,1)</f>
        <v>Climbing: Bouldering Gym</v>
      </c>
      <c r="D2" s="401" t="str">
        <f t="shared" si="9"/>
        <v>Climbing: Climbing Wall/Tower</v>
      </c>
      <c r="E2" s="401" t="str">
        <f t="shared" ref="E2:AX2" si="10">INDEX(program_table,E1,1)</f>
        <v>Climbing: Crate Stacking</v>
      </c>
      <c r="F2" s="906" t="str">
        <f t="shared" si="10"/>
        <v>Climbing: Rock Climbing</v>
      </c>
      <c r="G2" s="906" t="str">
        <f t="shared" si="10"/>
        <v>COPE: High Challenge Course</v>
      </c>
      <c r="H2" s="908" t="str">
        <f t="shared" si="10"/>
        <v>COPE: Initiative Games</v>
      </c>
      <c r="I2" s="401" t="str">
        <f t="shared" si="10"/>
        <v>COPE: Low Challenge Course</v>
      </c>
      <c r="J2" s="401" t="str">
        <f t="shared" si="10"/>
        <v>Ecology: Demonstration Forest</v>
      </c>
      <c r="K2" s="401" t="str">
        <f t="shared" si="10"/>
        <v>Ecology: Self-Guided Fishing</v>
      </c>
      <c r="L2" s="401" t="str">
        <f t="shared" si="10"/>
        <v>Evening: Advisor Coffee</v>
      </c>
      <c r="M2" s="401" t="str">
        <f t="shared" si="10"/>
        <v>Evening: Campfire Show</v>
      </c>
      <c r="N2" s="401" t="str">
        <f t="shared" si="10"/>
        <v>Evening: Chuckwagon Dinner</v>
      </c>
      <c r="O2" s="401" t="str">
        <f t="shared" si="10"/>
        <v>Historical: Adobe Brick-Making</v>
      </c>
      <c r="P2" s="401" t="str">
        <f t="shared" si="10"/>
        <v>Historical: Blacksmithing</v>
      </c>
      <c r="Q2" s="401" t="str">
        <f t="shared" si="10"/>
        <v>Historical: Cabin Restoration</v>
      </c>
      <c r="R2" s="401" t="str">
        <f t="shared" si="10"/>
        <v>Historical: Cabin/House Tour</v>
      </c>
      <c r="S2" s="401" t="str">
        <f t="shared" si="10"/>
        <v>Historical: Crafting</v>
      </c>
      <c r="T2" s="401" t="str">
        <f t="shared" si="10"/>
        <v>Historical: Crosscut &amp; Tie Making</v>
      </c>
      <c r="U2" s="401" t="str">
        <f t="shared" si="10"/>
        <v>Historical: Flint Knapping</v>
      </c>
      <c r="V2" s="401" t="str">
        <f t="shared" si="10"/>
        <v>Historical: Fur Trapper Rendezvous</v>
      </c>
      <c r="W2" s="401" t="str">
        <f t="shared" si="10"/>
        <v>Historical: Gold Panning</v>
      </c>
      <c r="X2" s="401" t="str">
        <f t="shared" si="10"/>
        <v>Historical: Mine Tour</v>
      </c>
      <c r="Y2" s="401" t="str">
        <f t="shared" si="10"/>
        <v>Historical: Petroglyph Tour</v>
      </c>
      <c r="Z2" s="401" t="str">
        <f t="shared" si="10"/>
        <v>Historical: Pump Car Rides</v>
      </c>
      <c r="AA2" s="401" t="str">
        <f t="shared" si="10"/>
        <v>Historical: Railroad Construction</v>
      </c>
      <c r="AB2" s="401" t="str">
        <f t="shared" si="10"/>
        <v>Historical: Spar Pole Climbing</v>
      </c>
      <c r="AC2" s="401" t="str">
        <f t="shared" si="10"/>
        <v>Landmarks: Baldy Mountain</v>
      </c>
      <c r="AD2" s="417" t="str">
        <f t="shared" si="10"/>
        <v>Landmarks: Inspiration Point</v>
      </c>
      <c r="AE2" s="417" t="str">
        <f t="shared" si="10"/>
        <v>Landmarks: Mount Phillips</v>
      </c>
      <c r="AF2" s="417" t="str">
        <f t="shared" si="10"/>
        <v>Landmarks: Mountaineering</v>
      </c>
      <c r="AG2" s="1030" t="str">
        <f t="shared" si="10"/>
        <v>Landmarks: Tooth of Time</v>
      </c>
      <c r="AH2" s="417" t="str">
        <f t="shared" si="10"/>
        <v>Landmarks: Trail Peak</v>
      </c>
      <c r="AI2" s="1030" t="str">
        <f t="shared" si="10"/>
        <v>Livestock: Animal Husbandry</v>
      </c>
      <c r="AJ2" s="401" t="str">
        <f t="shared" si="10"/>
        <v>Livestock: Burro Packing</v>
      </c>
      <c r="AK2" s="401" t="str">
        <f t="shared" si="10"/>
        <v>Livestock: Chicken Tending</v>
      </c>
      <c r="AL2" s="401" t="str">
        <f t="shared" si="10"/>
        <v>Livestock: Horse Rides</v>
      </c>
      <c r="AM2" s="401" t="str">
        <f t="shared" si="10"/>
        <v>Low Impact Camping</v>
      </c>
      <c r="AN2" s="401" t="str">
        <f t="shared" si="10"/>
        <v>Range Sports: 3D Archery</v>
      </c>
      <c r="AO2" s="401" t="str">
        <f t="shared" si="10"/>
        <v>Range Sports: Aerial Archery</v>
      </c>
      <c r="AP2" s="401" t="str">
        <f t="shared" si="10"/>
        <v>Range Sports: Atlatl Throwing</v>
      </c>
      <c r="AQ2" s="401" t="str">
        <f t="shared" si="10"/>
        <v>Range Sports: Cartridge Reloading</v>
      </c>
      <c r="AR2" s="401" t="str">
        <f t="shared" si="10"/>
        <v>Range Sports: Cowboy Action Shooting</v>
      </c>
      <c r="AS2" s="401" t="str">
        <f t="shared" si="10"/>
        <v>Range Sports: Field Archery</v>
      </c>
      <c r="AT2" s="401" t="str">
        <f t="shared" si="10"/>
        <v>Range Sports: Muzzleloader Shooting</v>
      </c>
      <c r="AU2" s="401" t="str">
        <f t="shared" si="10"/>
        <v>Range Sports: Rifle Shooting</v>
      </c>
      <c r="AV2" s="401" t="str">
        <f t="shared" si="10"/>
        <v>Range Sports: Shotgun Shooting</v>
      </c>
      <c r="AW2" s="401" t="str">
        <f t="shared" si="10"/>
        <v>Range Sports: Shotshell Reloading</v>
      </c>
      <c r="AX2" s="401" t="str">
        <f t="shared" si="10"/>
        <v>Range Sports: Tomahawk Throwing</v>
      </c>
      <c r="AY2" s="401" t="str">
        <f t="shared" ref="AY2:BF2" si="11">INDEX(program_table,AY1,1)</f>
        <v>STEM: Archeology</v>
      </c>
      <c r="AZ2" s="401" t="str">
        <f t="shared" si="11"/>
        <v>STEM: Astronomy</v>
      </c>
      <c r="BA2" s="401" t="str">
        <f t="shared" si="11"/>
        <v>STEM: Geology</v>
      </c>
      <c r="BB2" s="401" t="str">
        <f t="shared" ref="BB2:BD2" si="12">INDEX(program_table,BB1,1)</f>
        <v>Western Lore: Branding</v>
      </c>
      <c r="BC2" s="401" t="str">
        <f t="shared" si="12"/>
        <v>Western Lore: Cantina</v>
      </c>
      <c r="BD2" s="401" t="str">
        <f t="shared" si="12"/>
        <v>Western Lore: Roping</v>
      </c>
      <c r="BE2" s="401" t="e">
        <f t="shared" si="11"/>
        <v>#REF!</v>
      </c>
      <c r="BF2" s="954" t="e">
        <f t="shared" si="11"/>
        <v>#REF!</v>
      </c>
    </row>
    <row r="3" spans="1:58" ht="15" customHeight="1" x14ac:dyDescent="0.2">
      <c r="A3" s="402" t="str">
        <f>Itineraries!A3</f>
        <v>9-1</v>
      </c>
      <c r="B3" s="1073">
        <f>COUNTIF(C3:BF3,"y")</f>
        <v>23</v>
      </c>
      <c r="C3" s="1077" t="s">
        <v>8</v>
      </c>
      <c r="D3" s="1077" t="s">
        <v>8</v>
      </c>
      <c r="E3" s="1077" t="s">
        <v>8</v>
      </c>
      <c r="F3" s="1120" t="s">
        <v>8</v>
      </c>
      <c r="G3" s="1085" t="s">
        <v>8</v>
      </c>
      <c r="H3" s="1080" t="s">
        <v>8</v>
      </c>
      <c r="I3" s="1077" t="s">
        <v>8</v>
      </c>
      <c r="J3" s="1082"/>
      <c r="K3" s="1077" t="s">
        <v>8</v>
      </c>
      <c r="L3" s="1082" t="s">
        <v>458</v>
      </c>
      <c r="M3" s="1077" t="s">
        <v>8</v>
      </c>
      <c r="N3" s="1077" t="s">
        <v>8</v>
      </c>
      <c r="O3" s="1077" t="s">
        <v>8</v>
      </c>
      <c r="P3" s="1077" t="s">
        <v>8</v>
      </c>
      <c r="Q3" s="1077" t="s">
        <v>8</v>
      </c>
      <c r="R3" s="1082"/>
      <c r="S3" s="1077" t="s">
        <v>8</v>
      </c>
      <c r="T3" s="1077" t="s">
        <v>8</v>
      </c>
      <c r="U3" s="1082" t="s">
        <v>8</v>
      </c>
      <c r="V3" s="1082"/>
      <c r="W3" s="1082"/>
      <c r="X3" s="1082"/>
      <c r="Y3" s="1082"/>
      <c r="Z3" s="1082"/>
      <c r="AA3" s="1082"/>
      <c r="AB3" s="1082"/>
      <c r="AC3" s="1082"/>
      <c r="AD3" s="1093"/>
      <c r="AE3" s="1093" t="s">
        <v>169</v>
      </c>
      <c r="AF3" s="1093"/>
      <c r="AG3" s="1094"/>
      <c r="AH3" s="1093"/>
      <c r="AI3" s="1094"/>
      <c r="AJ3" s="1077" t="s">
        <v>8</v>
      </c>
      <c r="AK3" s="1082"/>
      <c r="AL3" s="1077" t="s">
        <v>8</v>
      </c>
      <c r="AM3" s="1082" t="s">
        <v>458</v>
      </c>
      <c r="AN3" s="1082"/>
      <c r="AO3" s="1082"/>
      <c r="AP3" s="1082"/>
      <c r="AQ3" s="1082"/>
      <c r="AR3" s="1082"/>
      <c r="AS3" s="1082"/>
      <c r="AT3" s="1082"/>
      <c r="AU3" s="1077" t="s">
        <v>8</v>
      </c>
      <c r="AV3" s="1082"/>
      <c r="AW3" s="1082"/>
      <c r="AX3" s="1082"/>
      <c r="AY3" s="1082"/>
      <c r="AZ3" s="1082"/>
      <c r="BA3" s="1082"/>
      <c r="BB3" s="1082"/>
      <c r="BC3" s="1082" t="s">
        <v>8</v>
      </c>
      <c r="BD3" s="1082" t="s">
        <v>8</v>
      </c>
      <c r="BE3" s="1082" t="s">
        <v>8</v>
      </c>
      <c r="BF3" s="1090"/>
    </row>
    <row r="4" spans="1:58" ht="15" customHeight="1" x14ac:dyDescent="0.2">
      <c r="A4" s="403" t="str">
        <f>Itineraries!A4</f>
        <v>9-2</v>
      </c>
      <c r="B4" s="1070">
        <f t="shared" ref="B4:B14" si="13">COUNTIF(C4:BF4,"y")</f>
        <v>14</v>
      </c>
      <c r="C4" s="1083"/>
      <c r="D4" s="1083"/>
      <c r="E4" s="1083"/>
      <c r="F4" s="1086"/>
      <c r="G4" s="1086"/>
      <c r="H4" s="1088"/>
      <c r="I4" s="1083"/>
      <c r="J4" s="1083"/>
      <c r="K4" s="1083"/>
      <c r="L4" s="1083"/>
      <c r="M4" s="1078" t="s">
        <v>8</v>
      </c>
      <c r="N4" s="1078" t="s">
        <v>8</v>
      </c>
      <c r="O4" s="1078" t="s">
        <v>8</v>
      </c>
      <c r="P4" s="1083"/>
      <c r="Q4" s="1083"/>
      <c r="R4" s="1083"/>
      <c r="S4" s="1083"/>
      <c r="T4" s="1083"/>
      <c r="U4" s="1083"/>
      <c r="V4" s="1083"/>
      <c r="W4" s="1083"/>
      <c r="X4" s="1083"/>
      <c r="Y4" s="1083"/>
      <c r="Z4" s="1083" t="s">
        <v>8</v>
      </c>
      <c r="AA4" s="1083"/>
      <c r="AB4" s="1083"/>
      <c r="AC4" s="1083"/>
      <c r="AD4" s="1095"/>
      <c r="AE4" s="1095"/>
      <c r="AF4" s="1095"/>
      <c r="AG4" s="1096"/>
      <c r="AH4" s="1095"/>
      <c r="AI4" s="1096"/>
      <c r="AJ4" s="1083"/>
      <c r="AK4" s="1083" t="s">
        <v>458</v>
      </c>
      <c r="AL4" s="1083"/>
      <c r="AM4" s="1078" t="s">
        <v>8</v>
      </c>
      <c r="AN4" s="1083"/>
      <c r="AO4" s="1078" t="s">
        <v>8</v>
      </c>
      <c r="AP4" s="1078" t="s">
        <v>8</v>
      </c>
      <c r="AQ4" s="1083"/>
      <c r="AR4" s="1083"/>
      <c r="AS4" s="1078" t="s">
        <v>8</v>
      </c>
      <c r="AT4" s="1078" t="s">
        <v>8</v>
      </c>
      <c r="AU4" s="1083"/>
      <c r="AV4" s="1083"/>
      <c r="AW4" s="1078" t="s">
        <v>8</v>
      </c>
      <c r="AX4" s="1078" t="s">
        <v>8</v>
      </c>
      <c r="AY4" s="1083"/>
      <c r="AZ4" s="1083"/>
      <c r="BA4" s="1083"/>
      <c r="BB4" s="1083"/>
      <c r="BC4" s="1083" t="s">
        <v>8</v>
      </c>
      <c r="BD4" s="1083" t="s">
        <v>8</v>
      </c>
      <c r="BE4" s="1083" t="s">
        <v>8</v>
      </c>
      <c r="BF4" s="1091"/>
    </row>
    <row r="5" spans="1:58" ht="15" customHeight="1" x14ac:dyDescent="0.2">
      <c r="A5" s="403" t="str">
        <f>Itineraries!A5</f>
        <v>9-3</v>
      </c>
      <c r="B5" s="1070">
        <f t="shared" si="13"/>
        <v>15</v>
      </c>
      <c r="C5" s="1083" t="s">
        <v>8</v>
      </c>
      <c r="D5" s="1083"/>
      <c r="E5" s="1083"/>
      <c r="F5" s="1086"/>
      <c r="G5" s="1086"/>
      <c r="H5" s="1088"/>
      <c r="I5" s="1083"/>
      <c r="J5" s="1083" t="s">
        <v>8</v>
      </c>
      <c r="K5" s="1083" t="s">
        <v>458</v>
      </c>
      <c r="L5" s="1083"/>
      <c r="M5" s="1078" t="s">
        <v>8</v>
      </c>
      <c r="N5" s="1078" t="s">
        <v>8</v>
      </c>
      <c r="O5" s="1078" t="s">
        <v>8</v>
      </c>
      <c r="P5" s="1083"/>
      <c r="Q5" s="1083"/>
      <c r="R5" s="1083"/>
      <c r="S5" s="1083"/>
      <c r="T5" s="1083"/>
      <c r="U5" s="1083"/>
      <c r="V5" s="1083"/>
      <c r="W5" s="1083"/>
      <c r="X5" s="1083" t="s">
        <v>8</v>
      </c>
      <c r="Y5" s="1083"/>
      <c r="Z5" s="1083"/>
      <c r="AA5" s="1083"/>
      <c r="AB5" s="1083"/>
      <c r="AC5" s="1083"/>
      <c r="AD5" s="1095"/>
      <c r="AE5" s="1095"/>
      <c r="AF5" s="1095"/>
      <c r="AG5" s="1096"/>
      <c r="AH5" s="1095" t="s">
        <v>169</v>
      </c>
      <c r="AI5" s="1096"/>
      <c r="AJ5" s="1083"/>
      <c r="AK5" s="1083"/>
      <c r="AL5" s="1083"/>
      <c r="AM5" s="1078" t="s">
        <v>8</v>
      </c>
      <c r="AN5" s="1083"/>
      <c r="AO5" s="1083" t="s">
        <v>8</v>
      </c>
      <c r="AP5" s="1083"/>
      <c r="AQ5" s="1083"/>
      <c r="AR5" s="1078" t="s">
        <v>8</v>
      </c>
      <c r="AS5" s="1083"/>
      <c r="AT5" s="1083" t="s">
        <v>8</v>
      </c>
      <c r="AU5" s="1083"/>
      <c r="AV5" s="1078" t="s">
        <v>8</v>
      </c>
      <c r="AW5" s="1083"/>
      <c r="AX5" s="1083"/>
      <c r="AY5" s="1083"/>
      <c r="AZ5" s="1083"/>
      <c r="BA5" s="1083"/>
      <c r="BB5" s="1083" t="s">
        <v>8</v>
      </c>
      <c r="BC5" s="1083" t="s">
        <v>8</v>
      </c>
      <c r="BD5" s="1083"/>
      <c r="BE5" s="1083" t="s">
        <v>8</v>
      </c>
      <c r="BF5" s="1091"/>
    </row>
    <row r="6" spans="1:58" ht="15" customHeight="1" x14ac:dyDescent="0.2">
      <c r="A6" s="403" t="str">
        <f>Itineraries!A6</f>
        <v>9-4</v>
      </c>
      <c r="B6" s="1070">
        <f>COUNTIF(C6:BF6,"y")</f>
        <v>19</v>
      </c>
      <c r="C6" s="1083"/>
      <c r="D6" s="1083"/>
      <c r="E6" s="1083"/>
      <c r="F6" s="1086"/>
      <c r="G6" s="1086"/>
      <c r="H6" s="1088"/>
      <c r="I6" s="1083"/>
      <c r="J6" s="1083"/>
      <c r="K6" s="1078" t="s">
        <v>8</v>
      </c>
      <c r="L6" s="1083" t="s">
        <v>458</v>
      </c>
      <c r="M6" s="1078" t="s">
        <v>8</v>
      </c>
      <c r="N6" s="1078" t="s">
        <v>8</v>
      </c>
      <c r="O6" s="1078" t="s">
        <v>8</v>
      </c>
      <c r="P6" s="1078" t="s">
        <v>8</v>
      </c>
      <c r="Q6" s="1078" t="s">
        <v>8</v>
      </c>
      <c r="R6" s="1083" t="s">
        <v>8</v>
      </c>
      <c r="S6" s="1078" t="s">
        <v>8</v>
      </c>
      <c r="T6" s="1078" t="s">
        <v>8</v>
      </c>
      <c r="U6" s="1078" t="s">
        <v>8</v>
      </c>
      <c r="V6" s="1083"/>
      <c r="W6" s="1083"/>
      <c r="X6" s="1083"/>
      <c r="Y6" s="1083"/>
      <c r="Z6" s="1083"/>
      <c r="AA6" s="1083"/>
      <c r="AB6" s="1083"/>
      <c r="AC6" s="1078" t="s">
        <v>8</v>
      </c>
      <c r="AD6" s="1095"/>
      <c r="AE6" s="1095"/>
      <c r="AF6" s="1095"/>
      <c r="AG6" s="1096"/>
      <c r="AH6" s="1095" t="s">
        <v>169</v>
      </c>
      <c r="AI6" s="1096"/>
      <c r="AJ6" s="1078" t="s">
        <v>8</v>
      </c>
      <c r="AK6" s="1083"/>
      <c r="AL6" s="1078" t="s">
        <v>8</v>
      </c>
      <c r="AM6" s="1078" t="s">
        <v>8</v>
      </c>
      <c r="AN6" s="1083"/>
      <c r="AO6" s="1083"/>
      <c r="AP6" s="1083"/>
      <c r="AQ6" s="1083"/>
      <c r="AR6" s="1083"/>
      <c r="AS6" s="1083"/>
      <c r="AT6" s="1083"/>
      <c r="AU6" s="1078" t="s">
        <v>8</v>
      </c>
      <c r="AV6" s="1083"/>
      <c r="AW6" s="1083"/>
      <c r="AX6" s="1083"/>
      <c r="AY6" s="1083"/>
      <c r="AZ6" s="1083"/>
      <c r="BA6" s="1083"/>
      <c r="BB6" s="1083"/>
      <c r="BC6" s="1083" t="s">
        <v>8</v>
      </c>
      <c r="BD6" s="1083" t="s">
        <v>8</v>
      </c>
      <c r="BE6" s="1083" t="s">
        <v>8</v>
      </c>
      <c r="BF6" s="1091"/>
    </row>
    <row r="7" spans="1:58" ht="15" customHeight="1" x14ac:dyDescent="0.2">
      <c r="A7" s="403" t="str">
        <f>Itineraries!A7</f>
        <v>9-5</v>
      </c>
      <c r="B7" s="1070">
        <f t="shared" si="13"/>
        <v>18</v>
      </c>
      <c r="C7" s="1083"/>
      <c r="D7" s="1083"/>
      <c r="E7" s="1083"/>
      <c r="F7" s="1086"/>
      <c r="G7" s="1086"/>
      <c r="H7" s="1081" t="s">
        <v>8</v>
      </c>
      <c r="I7" s="1078" t="s">
        <v>8</v>
      </c>
      <c r="J7" s="1083"/>
      <c r="K7" s="1083"/>
      <c r="L7" s="1083"/>
      <c r="M7" s="1078" t="s">
        <v>8</v>
      </c>
      <c r="N7" s="1083"/>
      <c r="O7" s="1083"/>
      <c r="P7" s="1083"/>
      <c r="Q7" s="1083" t="s">
        <v>8</v>
      </c>
      <c r="R7" s="1083"/>
      <c r="S7" s="1083"/>
      <c r="T7" s="1083"/>
      <c r="U7" s="1083" t="s">
        <v>8</v>
      </c>
      <c r="V7" s="1083"/>
      <c r="W7" s="1083" t="s">
        <v>8</v>
      </c>
      <c r="X7" s="1083" t="s">
        <v>8</v>
      </c>
      <c r="Y7" s="1083"/>
      <c r="Z7" s="1078" t="s">
        <v>8</v>
      </c>
      <c r="AA7" s="1083"/>
      <c r="AB7" s="1083"/>
      <c r="AC7" s="1083"/>
      <c r="AD7" s="1095" t="s">
        <v>169</v>
      </c>
      <c r="AE7" s="1095"/>
      <c r="AF7" s="1095"/>
      <c r="AG7" s="1096" t="s">
        <v>169</v>
      </c>
      <c r="AH7" s="1095"/>
      <c r="AI7" s="1096"/>
      <c r="AJ7" s="1083"/>
      <c r="AK7" s="1083" t="s">
        <v>8</v>
      </c>
      <c r="AL7" s="1083"/>
      <c r="AM7" s="1083"/>
      <c r="AN7" s="1083"/>
      <c r="AO7" s="1083"/>
      <c r="AP7" s="1083"/>
      <c r="AQ7" s="1078" t="s">
        <v>8</v>
      </c>
      <c r="AR7" s="1083"/>
      <c r="AS7" s="1083"/>
      <c r="AT7" s="1083"/>
      <c r="AU7" s="1083"/>
      <c r="AV7" s="1083"/>
      <c r="AW7" s="1083"/>
      <c r="AX7" s="1083"/>
      <c r="AY7" s="1083" t="s">
        <v>8</v>
      </c>
      <c r="AZ7" s="1078" t="s">
        <v>8</v>
      </c>
      <c r="BA7" s="1083" t="s">
        <v>458</v>
      </c>
      <c r="BB7" s="1078" t="s">
        <v>8</v>
      </c>
      <c r="BC7" s="1078" t="s">
        <v>8</v>
      </c>
      <c r="BD7" s="1078" t="s">
        <v>8</v>
      </c>
      <c r="BE7" s="1078" t="s">
        <v>8</v>
      </c>
      <c r="BF7" s="1091" t="s">
        <v>458</v>
      </c>
    </row>
    <row r="8" spans="1:58" ht="15" customHeight="1" x14ac:dyDescent="0.2">
      <c r="A8" s="403" t="str">
        <f>Itineraries!A8</f>
        <v>9-6</v>
      </c>
      <c r="B8" s="1070">
        <f t="shared" si="13"/>
        <v>16</v>
      </c>
      <c r="C8" s="1083"/>
      <c r="D8" s="1083"/>
      <c r="E8" s="1083"/>
      <c r="F8" s="1086"/>
      <c r="G8" s="1086"/>
      <c r="H8" s="1081" t="s">
        <v>8</v>
      </c>
      <c r="I8" s="1078" t="s">
        <v>8</v>
      </c>
      <c r="J8" s="1083"/>
      <c r="K8" s="1083"/>
      <c r="L8" s="1083"/>
      <c r="M8" s="1078" t="s">
        <v>8</v>
      </c>
      <c r="N8" s="1078" t="s">
        <v>8</v>
      </c>
      <c r="O8" s="1083"/>
      <c r="P8" s="1083"/>
      <c r="Q8" s="1083"/>
      <c r="R8" s="1083"/>
      <c r="S8" s="1078" t="s">
        <v>8</v>
      </c>
      <c r="T8" s="1083"/>
      <c r="U8" s="1083" t="s">
        <v>8</v>
      </c>
      <c r="V8" s="1083"/>
      <c r="W8" s="1083"/>
      <c r="X8" s="1083"/>
      <c r="Y8" s="1083"/>
      <c r="Z8" s="1078" t="s">
        <v>8</v>
      </c>
      <c r="AA8" s="1083"/>
      <c r="AB8" s="1083"/>
      <c r="AC8" s="1083"/>
      <c r="AD8" s="1095"/>
      <c r="AE8" s="1095"/>
      <c r="AF8" s="1095"/>
      <c r="AG8" s="1096"/>
      <c r="AH8" s="1095"/>
      <c r="AI8" s="1096"/>
      <c r="AJ8" s="1078" t="s">
        <v>8</v>
      </c>
      <c r="AK8" s="1083"/>
      <c r="AL8" s="1078" t="s">
        <v>8</v>
      </c>
      <c r="AM8" s="1083"/>
      <c r="AN8" s="1078" t="s">
        <v>8</v>
      </c>
      <c r="AO8" s="1083"/>
      <c r="AP8" s="1083"/>
      <c r="AQ8" s="1078" t="s">
        <v>8</v>
      </c>
      <c r="AR8" s="1083"/>
      <c r="AS8" s="1083"/>
      <c r="AT8" s="1083"/>
      <c r="AU8" s="1083"/>
      <c r="AV8" s="1083"/>
      <c r="AW8" s="1083"/>
      <c r="AX8" s="1083"/>
      <c r="AY8" s="1083"/>
      <c r="AZ8" s="1078" t="s">
        <v>8</v>
      </c>
      <c r="BA8" s="1078" t="s">
        <v>8</v>
      </c>
      <c r="BB8" s="1083" t="s">
        <v>458</v>
      </c>
      <c r="BC8" s="1078" t="s">
        <v>8</v>
      </c>
      <c r="BD8" s="1078" t="s">
        <v>8</v>
      </c>
      <c r="BE8" s="1078" t="s">
        <v>8</v>
      </c>
      <c r="BF8" s="1091" t="s">
        <v>458</v>
      </c>
    </row>
    <row r="9" spans="1:58" ht="15" customHeight="1" x14ac:dyDescent="0.2">
      <c r="A9" s="403" t="str">
        <f>Itineraries!A9</f>
        <v>9-7</v>
      </c>
      <c r="B9" s="1070">
        <f t="shared" si="13"/>
        <v>13</v>
      </c>
      <c r="C9" s="1078" t="s">
        <v>8</v>
      </c>
      <c r="D9" s="1083"/>
      <c r="E9" s="1083"/>
      <c r="F9" s="1079" t="s">
        <v>8</v>
      </c>
      <c r="G9" s="1086"/>
      <c r="H9" s="1088"/>
      <c r="I9" s="1083"/>
      <c r="J9" s="1083"/>
      <c r="K9" s="1083"/>
      <c r="L9" s="1083"/>
      <c r="M9" s="1078" t="s">
        <v>8</v>
      </c>
      <c r="N9" s="1083"/>
      <c r="O9" s="1083"/>
      <c r="P9" s="1083"/>
      <c r="Q9" s="1083" t="s">
        <v>8</v>
      </c>
      <c r="R9" s="1083"/>
      <c r="S9" s="1083"/>
      <c r="T9" s="1083"/>
      <c r="U9" s="1083"/>
      <c r="V9" s="1083"/>
      <c r="W9" s="1083"/>
      <c r="X9" s="1083" t="s">
        <v>8</v>
      </c>
      <c r="Y9" s="1083"/>
      <c r="Z9" s="1083"/>
      <c r="AA9" s="1083"/>
      <c r="AB9" s="1083"/>
      <c r="AC9" s="1083"/>
      <c r="AD9" s="1095"/>
      <c r="AE9" s="1095"/>
      <c r="AF9" s="1095" t="s">
        <v>169</v>
      </c>
      <c r="AG9" s="1096"/>
      <c r="AH9" s="1095"/>
      <c r="AI9" s="1096"/>
      <c r="AJ9" s="1083"/>
      <c r="AK9" s="1083"/>
      <c r="AL9" s="1083"/>
      <c r="AM9" s="1083"/>
      <c r="AN9" s="1083"/>
      <c r="AO9" s="1078" t="s">
        <v>8</v>
      </c>
      <c r="AP9" s="1078" t="s">
        <v>8</v>
      </c>
      <c r="AQ9" s="1083"/>
      <c r="AR9" s="1078" t="s">
        <v>8</v>
      </c>
      <c r="AS9" s="1083"/>
      <c r="AT9" s="1078" t="s">
        <v>8</v>
      </c>
      <c r="AU9" s="1083"/>
      <c r="AV9" s="1078" t="s">
        <v>8</v>
      </c>
      <c r="AW9" s="1078" t="s">
        <v>8</v>
      </c>
      <c r="AX9" s="1078" t="s">
        <v>8</v>
      </c>
      <c r="AY9" s="1083"/>
      <c r="AZ9" s="1083"/>
      <c r="BA9" s="1083"/>
      <c r="BB9" s="1083"/>
      <c r="BC9" s="1083"/>
      <c r="BD9" s="1083"/>
      <c r="BE9" s="1083"/>
      <c r="BF9" s="1091"/>
    </row>
    <row r="10" spans="1:58" ht="15" customHeight="1" x14ac:dyDescent="0.2">
      <c r="A10" s="403" t="str">
        <f>Itineraries!A10</f>
        <v>9-8</v>
      </c>
      <c r="B10" s="1070">
        <f t="shared" si="13"/>
        <v>22</v>
      </c>
      <c r="C10" s="1083"/>
      <c r="D10" s="1083"/>
      <c r="E10" s="1083"/>
      <c r="F10" s="1086"/>
      <c r="G10" s="1086" t="s">
        <v>8</v>
      </c>
      <c r="H10" s="1081" t="s">
        <v>8</v>
      </c>
      <c r="I10" s="1078" t="s">
        <v>8</v>
      </c>
      <c r="J10" s="1083"/>
      <c r="K10" s="1078" t="s">
        <v>8</v>
      </c>
      <c r="L10" s="1083"/>
      <c r="M10" s="1078" t="s">
        <v>8</v>
      </c>
      <c r="N10" s="1078" t="s">
        <v>8</v>
      </c>
      <c r="O10" s="1078" t="s">
        <v>8</v>
      </c>
      <c r="P10" s="1083" t="s">
        <v>8</v>
      </c>
      <c r="Q10" s="1083"/>
      <c r="R10" s="1083"/>
      <c r="S10" s="1083" t="s">
        <v>8</v>
      </c>
      <c r="T10" s="1083" t="s">
        <v>8</v>
      </c>
      <c r="U10" s="1083" t="s">
        <v>8</v>
      </c>
      <c r="V10" s="1078" t="s">
        <v>8</v>
      </c>
      <c r="W10" s="1083"/>
      <c r="X10" s="1083"/>
      <c r="Y10" s="1083"/>
      <c r="Z10" s="1083"/>
      <c r="AA10" s="1083"/>
      <c r="AB10" s="1083"/>
      <c r="AC10" s="1083"/>
      <c r="AD10" s="1095"/>
      <c r="AE10" s="1095" t="s">
        <v>169</v>
      </c>
      <c r="AF10" s="1095"/>
      <c r="AG10" s="1096" t="s">
        <v>169</v>
      </c>
      <c r="AH10" s="1095" t="s">
        <v>169</v>
      </c>
      <c r="AI10" s="1096"/>
      <c r="AJ10" s="1083" t="s">
        <v>8</v>
      </c>
      <c r="AK10" s="1083"/>
      <c r="AL10" s="1083" t="s">
        <v>8</v>
      </c>
      <c r="AM10" s="1083" t="s">
        <v>458</v>
      </c>
      <c r="AN10" s="1083"/>
      <c r="AO10" s="1078" t="s">
        <v>8</v>
      </c>
      <c r="AP10" s="1078" t="s">
        <v>8</v>
      </c>
      <c r="AQ10" s="1083"/>
      <c r="AR10" s="1083"/>
      <c r="AS10" s="1083"/>
      <c r="AT10" s="1083"/>
      <c r="AU10" s="1083"/>
      <c r="AV10" s="1083"/>
      <c r="AW10" s="1083"/>
      <c r="AX10" s="1083"/>
      <c r="AY10" s="1083"/>
      <c r="AZ10" s="1083"/>
      <c r="BA10" s="1083"/>
      <c r="BB10" s="1083"/>
      <c r="BC10" s="1083" t="s">
        <v>8</v>
      </c>
      <c r="BD10" s="1083" t="s">
        <v>8</v>
      </c>
      <c r="BE10" s="1083" t="s">
        <v>8</v>
      </c>
      <c r="BF10" s="1091"/>
    </row>
    <row r="11" spans="1:58" ht="15" customHeight="1" x14ac:dyDescent="0.2">
      <c r="A11" s="403" t="str">
        <f>Itineraries!A11</f>
        <v>9-9</v>
      </c>
      <c r="B11" s="1070">
        <f t="shared" si="13"/>
        <v>21</v>
      </c>
      <c r="C11" s="1083"/>
      <c r="D11" s="1083"/>
      <c r="E11" s="1083"/>
      <c r="F11" s="1086"/>
      <c r="G11" s="1086"/>
      <c r="H11" s="1088"/>
      <c r="I11" s="1083"/>
      <c r="J11" s="1083" t="s">
        <v>8</v>
      </c>
      <c r="K11" s="1078" t="s">
        <v>8</v>
      </c>
      <c r="L11" s="1083"/>
      <c r="M11" s="1078" t="s">
        <v>8</v>
      </c>
      <c r="N11" s="1078" t="s">
        <v>8</v>
      </c>
      <c r="O11" s="1078" t="s">
        <v>8</v>
      </c>
      <c r="P11" s="1083" t="s">
        <v>8</v>
      </c>
      <c r="Q11" s="1078" t="s">
        <v>8</v>
      </c>
      <c r="R11" s="1078" t="s">
        <v>8</v>
      </c>
      <c r="S11" s="1078" t="s">
        <v>8</v>
      </c>
      <c r="T11" s="1083" t="s">
        <v>8</v>
      </c>
      <c r="U11" s="1083"/>
      <c r="V11" s="1083"/>
      <c r="W11" s="1083"/>
      <c r="X11" s="1078" t="s">
        <v>8</v>
      </c>
      <c r="Y11" s="1078" t="s">
        <v>8</v>
      </c>
      <c r="Z11" s="1083"/>
      <c r="AA11" s="1083"/>
      <c r="AB11" s="1083"/>
      <c r="AC11" s="1083"/>
      <c r="AD11" s="1095"/>
      <c r="AE11" s="1095"/>
      <c r="AF11" s="1095" t="s">
        <v>169</v>
      </c>
      <c r="AG11" s="1096" t="s">
        <v>169</v>
      </c>
      <c r="AH11" s="1095"/>
      <c r="AI11" s="1096"/>
      <c r="AJ11" s="1078" t="s">
        <v>8</v>
      </c>
      <c r="AK11" s="1083"/>
      <c r="AL11" s="1078" t="s">
        <v>8</v>
      </c>
      <c r="AM11" s="1083" t="s">
        <v>458</v>
      </c>
      <c r="AN11" s="1083"/>
      <c r="AO11" s="1083"/>
      <c r="AP11" s="1083"/>
      <c r="AQ11" s="1083"/>
      <c r="AR11" s="1083"/>
      <c r="AS11" s="1083"/>
      <c r="AT11" s="1083"/>
      <c r="AU11" s="1083"/>
      <c r="AV11" s="1083"/>
      <c r="AW11" s="1083"/>
      <c r="AX11" s="1083"/>
      <c r="AY11" s="1083" t="s">
        <v>8</v>
      </c>
      <c r="AZ11" s="1083"/>
      <c r="BA11" s="1083"/>
      <c r="BB11" s="1083" t="s">
        <v>8</v>
      </c>
      <c r="BC11" s="1083" t="s">
        <v>8</v>
      </c>
      <c r="BD11" s="1083" t="s">
        <v>8</v>
      </c>
      <c r="BE11" s="1083" t="s">
        <v>8</v>
      </c>
      <c r="BF11" s="1091"/>
    </row>
    <row r="12" spans="1:58" ht="15" customHeight="1" x14ac:dyDescent="0.2">
      <c r="A12" s="403" t="str">
        <f>Itineraries!A12</f>
        <v>9-10</v>
      </c>
      <c r="B12" s="1070">
        <f t="shared" si="13"/>
        <v>19</v>
      </c>
      <c r="C12" s="1083"/>
      <c r="D12" s="1083"/>
      <c r="E12" s="1083"/>
      <c r="F12" s="1086"/>
      <c r="G12" s="1086"/>
      <c r="H12" s="1088"/>
      <c r="I12" s="1083"/>
      <c r="J12" s="1083"/>
      <c r="K12" s="1083"/>
      <c r="L12" s="1083"/>
      <c r="M12" s="1078" t="s">
        <v>8</v>
      </c>
      <c r="N12" s="1078" t="s">
        <v>8</v>
      </c>
      <c r="O12" s="1083"/>
      <c r="P12" s="1083"/>
      <c r="Q12" s="1078" t="s">
        <v>8</v>
      </c>
      <c r="R12" s="1083"/>
      <c r="S12" s="1083"/>
      <c r="T12" s="1083"/>
      <c r="U12" s="1078" t="s">
        <v>8</v>
      </c>
      <c r="V12" s="1083"/>
      <c r="W12" s="1078" t="s">
        <v>8</v>
      </c>
      <c r="X12" s="1083" t="s">
        <v>8</v>
      </c>
      <c r="Y12" s="1083"/>
      <c r="Z12" s="1083" t="s">
        <v>8</v>
      </c>
      <c r="AA12" s="1078" t="s">
        <v>8</v>
      </c>
      <c r="AB12" s="1078" t="s">
        <v>8</v>
      </c>
      <c r="AC12" s="1078" t="s">
        <v>8</v>
      </c>
      <c r="AD12" s="1095" t="s">
        <v>169</v>
      </c>
      <c r="AE12" s="1095"/>
      <c r="AF12" s="1095"/>
      <c r="AG12" s="1096" t="s">
        <v>169</v>
      </c>
      <c r="AH12" s="1095"/>
      <c r="AI12" s="1096"/>
      <c r="AJ12" s="1083"/>
      <c r="AK12" s="1083" t="s">
        <v>458</v>
      </c>
      <c r="AL12" s="1083"/>
      <c r="AM12" s="1083"/>
      <c r="AN12" s="1083"/>
      <c r="AO12" s="1083"/>
      <c r="AP12" s="1083"/>
      <c r="AQ12" s="1083"/>
      <c r="AR12" s="1083"/>
      <c r="AS12" s="1083"/>
      <c r="AT12" s="1083"/>
      <c r="AU12" s="1078" t="s">
        <v>8</v>
      </c>
      <c r="AV12" s="1083"/>
      <c r="AW12" s="1083"/>
      <c r="AX12" s="1083"/>
      <c r="AY12" s="1078" t="s">
        <v>8</v>
      </c>
      <c r="AZ12" s="1083" t="s">
        <v>8</v>
      </c>
      <c r="BA12" s="1083"/>
      <c r="BB12" s="1083" t="s">
        <v>8</v>
      </c>
      <c r="BC12" s="1083" t="s">
        <v>8</v>
      </c>
      <c r="BD12" s="1083" t="s">
        <v>8</v>
      </c>
      <c r="BE12" s="1083" t="s">
        <v>8</v>
      </c>
      <c r="BF12" s="1091"/>
    </row>
    <row r="13" spans="1:58" ht="15" customHeight="1" x14ac:dyDescent="0.2">
      <c r="A13" s="403" t="str">
        <f>Itineraries!A13</f>
        <v>9-11</v>
      </c>
      <c r="B13" s="1070">
        <f t="shared" si="13"/>
        <v>17</v>
      </c>
      <c r="C13" s="1083"/>
      <c r="D13" s="1083"/>
      <c r="E13" s="1083"/>
      <c r="F13" s="1086"/>
      <c r="G13" s="1086"/>
      <c r="H13" s="1088"/>
      <c r="I13" s="1083" t="s">
        <v>8</v>
      </c>
      <c r="J13" s="1083"/>
      <c r="K13" s="1083"/>
      <c r="L13" s="1083"/>
      <c r="M13" s="1078" t="s">
        <v>8</v>
      </c>
      <c r="N13" s="1078" t="s">
        <v>8</v>
      </c>
      <c r="O13" s="1083"/>
      <c r="P13" s="1083"/>
      <c r="Q13" s="1083" t="s">
        <v>8</v>
      </c>
      <c r="R13" s="1083"/>
      <c r="S13" s="1078" t="s">
        <v>8</v>
      </c>
      <c r="T13" s="1083"/>
      <c r="U13" s="1083"/>
      <c r="V13" s="1083"/>
      <c r="W13" s="1083" t="s">
        <v>8</v>
      </c>
      <c r="X13" s="1083" t="s">
        <v>8</v>
      </c>
      <c r="Y13" s="1083"/>
      <c r="Z13" s="1083" t="s">
        <v>8</v>
      </c>
      <c r="AA13" s="1083"/>
      <c r="AB13" s="1083" t="s">
        <v>8</v>
      </c>
      <c r="AC13" s="1083"/>
      <c r="AD13" s="1095" t="s">
        <v>169</v>
      </c>
      <c r="AE13" s="1095"/>
      <c r="AF13" s="1095"/>
      <c r="AG13" s="1096" t="s">
        <v>169</v>
      </c>
      <c r="AH13" s="1095"/>
      <c r="AI13" s="1096"/>
      <c r="AJ13" s="1078" t="s">
        <v>8</v>
      </c>
      <c r="AK13" s="1083"/>
      <c r="AL13" s="1078" t="s">
        <v>8</v>
      </c>
      <c r="AM13" s="1083"/>
      <c r="AN13" s="1078" t="s">
        <v>8</v>
      </c>
      <c r="AO13" s="1083"/>
      <c r="AP13" s="1083"/>
      <c r="AQ13" s="1083"/>
      <c r="AR13" s="1083"/>
      <c r="AS13" s="1083"/>
      <c r="AT13" s="1083"/>
      <c r="AU13" s="1083"/>
      <c r="AV13" s="1083"/>
      <c r="AW13" s="1083"/>
      <c r="AX13" s="1083"/>
      <c r="AY13" s="1083" t="s">
        <v>8</v>
      </c>
      <c r="AZ13" s="1083" t="s">
        <v>8</v>
      </c>
      <c r="BA13" s="1083"/>
      <c r="BB13" s="1083" t="s">
        <v>8</v>
      </c>
      <c r="BC13" s="1083"/>
      <c r="BD13" s="1083"/>
      <c r="BE13" s="1083"/>
      <c r="BF13" s="1091"/>
    </row>
    <row r="14" spans="1:58" ht="15" customHeight="1" x14ac:dyDescent="0.2">
      <c r="A14" s="403" t="str">
        <f>Itineraries!A14</f>
        <v>9-12</v>
      </c>
      <c r="B14" s="1070">
        <f t="shared" si="13"/>
        <v>16</v>
      </c>
      <c r="C14" s="1083"/>
      <c r="D14" s="1083"/>
      <c r="E14" s="1083"/>
      <c r="F14" s="1086"/>
      <c r="G14" s="1086"/>
      <c r="H14" s="1088"/>
      <c r="I14" s="1083"/>
      <c r="J14" s="1083"/>
      <c r="K14" s="1083" t="s">
        <v>8</v>
      </c>
      <c r="L14" s="1083"/>
      <c r="M14" s="1078" t="s">
        <v>8</v>
      </c>
      <c r="N14" s="1078" t="s">
        <v>8</v>
      </c>
      <c r="O14" s="1078" t="s">
        <v>8</v>
      </c>
      <c r="P14" s="1083"/>
      <c r="Q14" s="1083"/>
      <c r="R14" s="1083"/>
      <c r="S14" s="1083"/>
      <c r="T14" s="1083"/>
      <c r="U14" s="1083"/>
      <c r="V14" s="1083"/>
      <c r="W14" s="1083"/>
      <c r="X14" s="1083"/>
      <c r="Y14" s="1083"/>
      <c r="Z14" s="1083"/>
      <c r="AA14" s="1083"/>
      <c r="AB14" s="1083"/>
      <c r="AC14" s="1083"/>
      <c r="AD14" s="1095"/>
      <c r="AE14" s="1095"/>
      <c r="AF14" s="1095" t="s">
        <v>169</v>
      </c>
      <c r="AG14" s="1096" t="s">
        <v>169</v>
      </c>
      <c r="AH14" s="1095" t="s">
        <v>169</v>
      </c>
      <c r="AI14" s="1096" t="s">
        <v>169</v>
      </c>
      <c r="AJ14" s="1083" t="s">
        <v>8</v>
      </c>
      <c r="AK14" s="1083"/>
      <c r="AL14" s="1083"/>
      <c r="AM14" s="1083" t="s">
        <v>458</v>
      </c>
      <c r="AN14" s="1083"/>
      <c r="AO14" s="1083"/>
      <c r="AP14" s="1083"/>
      <c r="AQ14" s="1083"/>
      <c r="AR14" s="1078" t="s">
        <v>8</v>
      </c>
      <c r="AS14" s="1083"/>
      <c r="AT14" s="1083"/>
      <c r="AU14" s="1083"/>
      <c r="AV14" s="1078" t="s">
        <v>8</v>
      </c>
      <c r="AW14" s="1078" t="s">
        <v>8</v>
      </c>
      <c r="AX14" s="1078" t="s">
        <v>8</v>
      </c>
      <c r="AY14" s="1083" t="s">
        <v>8</v>
      </c>
      <c r="AZ14" s="1083"/>
      <c r="BA14" s="1083"/>
      <c r="BB14" s="1083"/>
      <c r="BC14" s="1083" t="s">
        <v>8</v>
      </c>
      <c r="BD14" s="1083"/>
      <c r="BE14" s="1083" t="s">
        <v>8</v>
      </c>
      <c r="BF14" s="1091"/>
    </row>
    <row r="15" spans="1:58" ht="15" customHeight="1" x14ac:dyDescent="0.2">
      <c r="A15" s="403"/>
      <c r="B15" s="1070"/>
      <c r="C15" s="1083"/>
      <c r="D15" s="1083"/>
      <c r="E15" s="1083"/>
      <c r="F15" s="1086"/>
      <c r="G15" s="1086"/>
      <c r="H15" s="1088"/>
      <c r="I15" s="1083"/>
      <c r="J15" s="1083"/>
      <c r="K15" s="1083"/>
      <c r="L15" s="1083"/>
      <c r="M15" s="1083"/>
      <c r="N15" s="1083"/>
      <c r="O15" s="1083"/>
      <c r="P15" s="1083"/>
      <c r="Q15" s="1083"/>
      <c r="R15" s="1083"/>
      <c r="S15" s="1083"/>
      <c r="T15" s="1083"/>
      <c r="U15" s="1083"/>
      <c r="V15" s="1083"/>
      <c r="W15" s="1083"/>
      <c r="X15" s="1083"/>
      <c r="Y15" s="1083"/>
      <c r="Z15" s="1083"/>
      <c r="AA15" s="1083"/>
      <c r="AB15" s="1083"/>
      <c r="AC15" s="1083"/>
      <c r="AD15" s="1095"/>
      <c r="AE15" s="1095"/>
      <c r="AF15" s="1095"/>
      <c r="AG15" s="1096"/>
      <c r="AH15" s="1095"/>
      <c r="AI15" s="1096"/>
      <c r="AJ15" s="1083"/>
      <c r="AK15" s="1083"/>
      <c r="AL15" s="1083"/>
      <c r="AM15" s="1083"/>
      <c r="AN15" s="1083"/>
      <c r="AO15" s="1083"/>
      <c r="AP15" s="1083"/>
      <c r="AQ15" s="1083"/>
      <c r="AR15" s="1083"/>
      <c r="AS15" s="1083"/>
      <c r="AT15" s="1083"/>
      <c r="AU15" s="1083"/>
      <c r="AV15" s="1083"/>
      <c r="AW15" s="1083"/>
      <c r="AX15" s="1083"/>
      <c r="AY15" s="1083"/>
      <c r="AZ15" s="1083"/>
      <c r="BA15" s="1083"/>
      <c r="BB15" s="1083"/>
      <c r="BC15" s="1083"/>
      <c r="BD15" s="1083"/>
      <c r="BE15" s="1083"/>
      <c r="BF15" s="1091"/>
    </row>
    <row r="16" spans="1:58" ht="15" customHeight="1" x14ac:dyDescent="0.2">
      <c r="A16" s="403"/>
      <c r="B16" s="1070"/>
      <c r="C16" s="1083"/>
      <c r="D16" s="1083"/>
      <c r="E16" s="1083"/>
      <c r="F16" s="1086"/>
      <c r="G16" s="1086"/>
      <c r="H16" s="1088"/>
      <c r="I16" s="1083"/>
      <c r="J16" s="1083"/>
      <c r="K16" s="1083"/>
      <c r="L16" s="1083"/>
      <c r="M16" s="1083"/>
      <c r="N16" s="1083"/>
      <c r="O16" s="1083"/>
      <c r="P16" s="1083"/>
      <c r="Q16" s="124"/>
      <c r="R16" s="1083"/>
      <c r="S16" s="1083"/>
      <c r="T16" s="1083"/>
      <c r="U16" s="1083"/>
      <c r="V16" s="1083"/>
      <c r="W16" s="1083"/>
      <c r="X16" s="1083"/>
      <c r="Y16" s="1083"/>
      <c r="Z16" s="1083"/>
      <c r="AA16" s="1083"/>
      <c r="AB16" s="1083"/>
      <c r="AC16" s="1083"/>
      <c r="AD16" s="1095"/>
      <c r="AE16" s="1095"/>
      <c r="AF16" s="1095"/>
      <c r="AG16" s="1096"/>
      <c r="AH16" s="1095"/>
      <c r="AI16" s="1096"/>
      <c r="AJ16" s="1083"/>
      <c r="AK16" s="1083"/>
      <c r="AL16" s="1083"/>
      <c r="AM16" s="1083"/>
      <c r="AN16" s="1083"/>
      <c r="AO16" s="1083"/>
      <c r="AP16" s="1083"/>
      <c r="AQ16" s="1083"/>
      <c r="AR16" s="1083"/>
      <c r="AS16" s="1083"/>
      <c r="AT16" s="1083"/>
      <c r="AU16" s="1083"/>
      <c r="AV16" s="1083"/>
      <c r="AW16" s="1083"/>
      <c r="AX16" s="1083"/>
      <c r="AY16" s="1083"/>
      <c r="AZ16" s="1083"/>
      <c r="BA16" s="1083"/>
      <c r="BB16" s="1083"/>
      <c r="BC16" s="1083"/>
      <c r="BD16" s="1083"/>
      <c r="BE16" s="1083"/>
      <c r="BF16" s="1091"/>
    </row>
    <row r="17" spans="1:58" ht="15" customHeight="1" x14ac:dyDescent="0.2">
      <c r="A17" s="403"/>
      <c r="B17" s="1070"/>
      <c r="C17" s="1083"/>
      <c r="D17" s="1083"/>
      <c r="E17" s="1083"/>
      <c r="F17" s="1086"/>
      <c r="G17" s="1086"/>
      <c r="H17" s="1088"/>
      <c r="I17" s="1083"/>
      <c r="J17" s="1083"/>
      <c r="K17" s="1083"/>
      <c r="L17" s="1083"/>
      <c r="M17" s="1083"/>
      <c r="N17" s="1083"/>
      <c r="O17" s="1083"/>
      <c r="P17" s="1083"/>
      <c r="Q17" s="1083"/>
      <c r="R17" s="1083"/>
      <c r="S17" s="1083"/>
      <c r="T17" s="1083"/>
      <c r="U17" s="1083"/>
      <c r="V17" s="1083"/>
      <c r="W17" s="1083"/>
      <c r="X17" s="1083"/>
      <c r="Y17" s="1083"/>
      <c r="Z17" s="1083"/>
      <c r="AA17" s="1083"/>
      <c r="AB17" s="1083"/>
      <c r="AC17" s="1083"/>
      <c r="AD17" s="1095"/>
      <c r="AE17" s="1095"/>
      <c r="AF17" s="1095"/>
      <c r="AG17" s="1096"/>
      <c r="AH17" s="1095"/>
      <c r="AI17" s="1096"/>
      <c r="AJ17" s="1083"/>
      <c r="AK17" s="1083"/>
      <c r="AL17" s="1083"/>
      <c r="AM17" s="1083"/>
      <c r="AN17" s="1083"/>
      <c r="AO17" s="1083"/>
      <c r="AP17" s="1083"/>
      <c r="AQ17" s="1083"/>
      <c r="AR17" s="1083"/>
      <c r="AS17" s="1083"/>
      <c r="AT17" s="1083"/>
      <c r="AU17" s="1083"/>
      <c r="AV17" s="1083"/>
      <c r="AW17" s="1083"/>
      <c r="AX17" s="1083"/>
      <c r="AY17" s="1083"/>
      <c r="AZ17" s="1083"/>
      <c r="BA17" s="1083"/>
      <c r="BB17" s="1083"/>
      <c r="BC17" s="1083"/>
      <c r="BD17" s="1083"/>
      <c r="BE17" s="1083"/>
      <c r="BF17" s="1091"/>
    </row>
    <row r="18" spans="1:58" ht="15" customHeight="1" x14ac:dyDescent="0.2">
      <c r="A18" s="403"/>
      <c r="B18" s="1070"/>
      <c r="C18" s="1083"/>
      <c r="D18" s="1083"/>
      <c r="E18" s="1083"/>
      <c r="F18" s="1086"/>
      <c r="G18" s="1086"/>
      <c r="H18" s="1088"/>
      <c r="I18" s="1083"/>
      <c r="J18" s="1083"/>
      <c r="K18" s="1083"/>
      <c r="L18" s="1083"/>
      <c r="M18" s="1083"/>
      <c r="N18" s="1083"/>
      <c r="O18" s="1083"/>
      <c r="P18" s="1083"/>
      <c r="Q18" s="1083"/>
      <c r="R18" s="1083"/>
      <c r="S18" s="1083"/>
      <c r="T18" s="1083"/>
      <c r="U18" s="1083"/>
      <c r="V18" s="1083"/>
      <c r="W18" s="1083"/>
      <c r="X18" s="1083"/>
      <c r="Y18" s="1083"/>
      <c r="Z18" s="1083"/>
      <c r="AA18" s="1083"/>
      <c r="AB18" s="1083"/>
      <c r="AC18" s="1083"/>
      <c r="AD18" s="1095"/>
      <c r="AE18" s="1095"/>
      <c r="AF18" s="1095"/>
      <c r="AG18" s="1096"/>
      <c r="AH18" s="1095"/>
      <c r="AI18" s="1096"/>
      <c r="AJ18" s="1083"/>
      <c r="AK18" s="1083"/>
      <c r="AL18" s="1083"/>
      <c r="AM18" s="1083"/>
      <c r="AN18" s="1083"/>
      <c r="AO18" s="1083"/>
      <c r="AP18" s="1083"/>
      <c r="AQ18" s="1083"/>
      <c r="AR18" s="1083"/>
      <c r="AS18" s="1083"/>
      <c r="AT18" s="1083"/>
      <c r="AU18" s="1083"/>
      <c r="AV18" s="1083"/>
      <c r="AW18" s="1083"/>
      <c r="AX18" s="1083"/>
      <c r="AY18" s="1083"/>
      <c r="AZ18" s="1083"/>
      <c r="BA18" s="1083"/>
      <c r="BB18" s="1083"/>
      <c r="BC18" s="1083"/>
      <c r="BD18" s="1083"/>
      <c r="BE18" s="1083"/>
      <c r="BF18" s="1091"/>
    </row>
    <row r="19" spans="1:58" ht="15" customHeight="1" x14ac:dyDescent="0.2">
      <c r="A19" s="403"/>
      <c r="B19" s="1070"/>
      <c r="C19" s="1083"/>
      <c r="D19" s="1083"/>
      <c r="E19" s="1083"/>
      <c r="F19" s="1086"/>
      <c r="G19" s="1086"/>
      <c r="H19" s="1088"/>
      <c r="I19" s="1083"/>
      <c r="J19" s="1083"/>
      <c r="K19" s="1083"/>
      <c r="L19" s="1083"/>
      <c r="M19" s="1083"/>
      <c r="N19" s="1083"/>
      <c r="O19" s="1083"/>
      <c r="P19" s="1083"/>
      <c r="Q19" s="1083"/>
      <c r="R19" s="1083"/>
      <c r="S19" s="1083"/>
      <c r="T19" s="1083"/>
      <c r="U19" s="1083"/>
      <c r="V19" s="1083"/>
      <c r="W19" s="1083"/>
      <c r="X19" s="1083"/>
      <c r="Y19" s="1083"/>
      <c r="Z19" s="1083"/>
      <c r="AA19" s="1083"/>
      <c r="AB19" s="1083"/>
      <c r="AC19" s="1083"/>
      <c r="AD19" s="1095"/>
      <c r="AE19" s="1095"/>
      <c r="AF19" s="1095"/>
      <c r="AG19" s="1096"/>
      <c r="AH19" s="1095"/>
      <c r="AI19" s="1096"/>
      <c r="AJ19" s="1083"/>
      <c r="AK19" s="1083"/>
      <c r="AL19" s="1083"/>
      <c r="AM19" s="1083"/>
      <c r="AN19" s="1083"/>
      <c r="AO19" s="1083"/>
      <c r="AP19" s="1083"/>
      <c r="AQ19" s="1083"/>
      <c r="AR19" s="1083"/>
      <c r="AS19" s="1083"/>
      <c r="AT19" s="1083"/>
      <c r="AU19" s="1083"/>
      <c r="AV19" s="1083"/>
      <c r="AW19" s="1083"/>
      <c r="AX19" s="1083"/>
      <c r="AY19" s="1083"/>
      <c r="AZ19" s="1083"/>
      <c r="BA19" s="1083"/>
      <c r="BB19" s="1083"/>
      <c r="BC19" s="1083"/>
      <c r="BD19" s="1083"/>
      <c r="BE19" s="1083"/>
      <c r="BF19" s="1091"/>
    </row>
    <row r="20" spans="1:58" ht="15" customHeight="1" x14ac:dyDescent="0.2">
      <c r="A20" s="403"/>
      <c r="B20" s="1070"/>
      <c r="C20" s="1083"/>
      <c r="D20" s="1083"/>
      <c r="E20" s="1083"/>
      <c r="F20" s="1086"/>
      <c r="G20" s="1086"/>
      <c r="H20" s="1088"/>
      <c r="I20" s="1083"/>
      <c r="J20" s="1083"/>
      <c r="K20" s="1083"/>
      <c r="L20" s="1083"/>
      <c r="M20" s="1083"/>
      <c r="N20" s="1083"/>
      <c r="O20" s="1083"/>
      <c r="P20" s="1083"/>
      <c r="Q20" s="1083"/>
      <c r="R20" s="1083"/>
      <c r="S20" s="1083"/>
      <c r="T20" s="1083"/>
      <c r="U20" s="1083"/>
      <c r="V20" s="1083"/>
      <c r="W20" s="1083"/>
      <c r="X20" s="1083"/>
      <c r="Y20" s="1083"/>
      <c r="Z20" s="1083"/>
      <c r="AA20" s="1083"/>
      <c r="AB20" s="1083"/>
      <c r="AC20" s="1083"/>
      <c r="AD20" s="1095"/>
      <c r="AE20" s="1095"/>
      <c r="AF20" s="1095"/>
      <c r="AG20" s="1096"/>
      <c r="AH20" s="1095"/>
      <c r="AI20" s="1096"/>
      <c r="AJ20" s="1083"/>
      <c r="AK20" s="1083"/>
      <c r="AL20" s="1083"/>
      <c r="AM20" s="1083"/>
      <c r="AN20" s="1083"/>
      <c r="AO20" s="1083"/>
      <c r="AP20" s="1083"/>
      <c r="AQ20" s="1083"/>
      <c r="AR20" s="1083"/>
      <c r="AS20" s="1083"/>
      <c r="AT20" s="1083"/>
      <c r="AU20" s="1083"/>
      <c r="AV20" s="1083"/>
      <c r="AW20" s="1083"/>
      <c r="AX20" s="1083"/>
      <c r="AY20" s="1083"/>
      <c r="AZ20" s="1083"/>
      <c r="BA20" s="1083"/>
      <c r="BB20" s="1083"/>
      <c r="BC20" s="1083"/>
      <c r="BD20" s="1083"/>
      <c r="BE20" s="1083"/>
      <c r="BF20" s="1091"/>
    </row>
    <row r="21" spans="1:58" ht="15" customHeight="1" x14ac:dyDescent="0.2">
      <c r="A21" s="403"/>
      <c r="B21" s="1070"/>
      <c r="C21" s="1083"/>
      <c r="D21" s="1083"/>
      <c r="E21" s="1083"/>
      <c r="F21" s="1086"/>
      <c r="G21" s="1086"/>
      <c r="H21" s="1088"/>
      <c r="I21" s="1083"/>
      <c r="J21" s="1083"/>
      <c r="K21" s="1083"/>
      <c r="L21" s="1083"/>
      <c r="M21" s="1083"/>
      <c r="N21" s="1083"/>
      <c r="O21" s="1083"/>
      <c r="P21" s="1083"/>
      <c r="Q21" s="1083"/>
      <c r="R21" s="1083"/>
      <c r="S21" s="1083"/>
      <c r="T21" s="1083"/>
      <c r="U21" s="1083"/>
      <c r="V21" s="1083"/>
      <c r="W21" s="1083"/>
      <c r="X21" s="1083"/>
      <c r="Y21" s="1083"/>
      <c r="Z21" s="1083"/>
      <c r="AA21" s="1083"/>
      <c r="AB21" s="1083"/>
      <c r="AC21" s="1083"/>
      <c r="AD21" s="1095"/>
      <c r="AE21" s="1095"/>
      <c r="AF21" s="1095"/>
      <c r="AG21" s="1096"/>
      <c r="AH21" s="1095"/>
      <c r="AI21" s="1096"/>
      <c r="AJ21" s="1083"/>
      <c r="AK21" s="1083"/>
      <c r="AL21" s="1083"/>
      <c r="AM21" s="1083"/>
      <c r="AN21" s="1083"/>
      <c r="AO21" s="1083"/>
      <c r="AP21" s="1083"/>
      <c r="AQ21" s="1083"/>
      <c r="AR21" s="1083"/>
      <c r="AS21" s="1083"/>
      <c r="AT21" s="1083"/>
      <c r="AU21" s="1083"/>
      <c r="AV21" s="1083"/>
      <c r="AW21" s="1083"/>
      <c r="AX21" s="1083"/>
      <c r="AY21" s="1083"/>
      <c r="AZ21" s="1083"/>
      <c r="BA21" s="1083"/>
      <c r="BB21" s="1083"/>
      <c r="BC21" s="1083"/>
      <c r="BD21" s="1083"/>
      <c r="BE21" s="1083"/>
      <c r="BF21" s="1091"/>
    </row>
    <row r="22" spans="1:58" ht="15" customHeight="1" x14ac:dyDescent="0.2">
      <c r="A22" s="403"/>
      <c r="B22" s="1070"/>
      <c r="C22" s="1083"/>
      <c r="D22" s="1083"/>
      <c r="E22" s="1083"/>
      <c r="F22" s="1086"/>
      <c r="G22" s="1086"/>
      <c r="H22" s="1088"/>
      <c r="I22" s="1083"/>
      <c r="J22" s="1083"/>
      <c r="K22" s="1083"/>
      <c r="L22" s="1083"/>
      <c r="M22" s="1083"/>
      <c r="N22" s="1083"/>
      <c r="O22" s="1083"/>
      <c r="P22" s="1083"/>
      <c r="Q22" s="1083"/>
      <c r="R22" s="1083"/>
      <c r="S22" s="1083"/>
      <c r="T22" s="1083"/>
      <c r="U22" s="1083"/>
      <c r="V22" s="1083"/>
      <c r="W22" s="1083"/>
      <c r="X22" s="1083"/>
      <c r="Y22" s="1083"/>
      <c r="Z22" s="1083"/>
      <c r="AA22" s="1083"/>
      <c r="AB22" s="1083"/>
      <c r="AC22" s="1083"/>
      <c r="AD22" s="1095"/>
      <c r="AE22" s="1095"/>
      <c r="AF22" s="1095"/>
      <c r="AG22" s="1096"/>
      <c r="AH22" s="1095"/>
      <c r="AI22" s="1096"/>
      <c r="AJ22" s="1083"/>
      <c r="AK22" s="1083"/>
      <c r="AL22" s="1083"/>
      <c r="AM22" s="1083"/>
      <c r="AN22" s="1083"/>
      <c r="AO22" s="1083"/>
      <c r="AP22" s="1083"/>
      <c r="AQ22" s="1083"/>
      <c r="AR22" s="1083"/>
      <c r="AS22" s="1083"/>
      <c r="AT22" s="1083"/>
      <c r="AU22" s="1083"/>
      <c r="AV22" s="1083"/>
      <c r="AW22" s="1083"/>
      <c r="AX22" s="1083"/>
      <c r="AY22" s="1083"/>
      <c r="AZ22" s="1083"/>
      <c r="BA22" s="1083"/>
      <c r="BB22" s="1083"/>
      <c r="BC22" s="1083"/>
      <c r="BD22" s="1083"/>
      <c r="BE22" s="1083"/>
      <c r="BF22" s="1091"/>
    </row>
    <row r="23" spans="1:58" ht="15" customHeight="1" x14ac:dyDescent="0.2">
      <c r="A23" s="403"/>
      <c r="B23" s="1070"/>
      <c r="C23" s="1083"/>
      <c r="D23" s="1083"/>
      <c r="E23" s="1083"/>
      <c r="F23" s="1086"/>
      <c r="G23" s="1086"/>
      <c r="H23" s="1088"/>
      <c r="I23" s="1083"/>
      <c r="J23" s="1083"/>
      <c r="K23" s="1083"/>
      <c r="L23" s="1083"/>
      <c r="M23" s="1083"/>
      <c r="N23" s="1083"/>
      <c r="O23" s="1083"/>
      <c r="P23" s="1083"/>
      <c r="Q23" s="1083"/>
      <c r="R23" s="1083"/>
      <c r="S23" s="1083"/>
      <c r="T23" s="1083"/>
      <c r="U23" s="1083"/>
      <c r="V23" s="1083"/>
      <c r="W23" s="1083"/>
      <c r="X23" s="1083"/>
      <c r="Y23" s="1083"/>
      <c r="Z23" s="1083"/>
      <c r="AA23" s="1083"/>
      <c r="AB23" s="1083"/>
      <c r="AC23" s="1083"/>
      <c r="AD23" s="1095"/>
      <c r="AE23" s="1095"/>
      <c r="AF23" s="1095"/>
      <c r="AG23" s="1096"/>
      <c r="AH23" s="1095"/>
      <c r="AI23" s="1096"/>
      <c r="AJ23" s="1083"/>
      <c r="AK23" s="1083"/>
      <c r="AL23" s="1083"/>
      <c r="AM23" s="1083"/>
      <c r="AN23" s="1083"/>
      <c r="AO23" s="1083"/>
      <c r="AP23" s="1083"/>
      <c r="AQ23" s="1083"/>
      <c r="AR23" s="1083"/>
      <c r="AS23" s="1083"/>
      <c r="AT23" s="1083"/>
      <c r="AU23" s="1083"/>
      <c r="AV23" s="1083"/>
      <c r="AW23" s="1083"/>
      <c r="AX23" s="1083"/>
      <c r="AY23" s="1083"/>
      <c r="AZ23" s="1083"/>
      <c r="BA23" s="1083"/>
      <c r="BB23" s="1083"/>
      <c r="BC23" s="1083"/>
      <c r="BD23" s="1083"/>
      <c r="BE23" s="1083"/>
      <c r="BF23" s="1091"/>
    </row>
    <row r="24" spans="1:58" ht="15" customHeight="1" x14ac:dyDescent="0.2">
      <c r="A24" s="403"/>
      <c r="B24" s="1070"/>
      <c r="C24" s="1083"/>
      <c r="D24" s="1083"/>
      <c r="E24" s="1083"/>
      <c r="F24" s="1086"/>
      <c r="G24" s="1086"/>
      <c r="H24" s="1088"/>
      <c r="I24" s="1083"/>
      <c r="J24" s="1083"/>
      <c r="K24" s="1083"/>
      <c r="L24" s="1083"/>
      <c r="M24" s="1083"/>
      <c r="N24" s="1083"/>
      <c r="O24" s="1083"/>
      <c r="P24" s="1083"/>
      <c r="Q24" s="1083"/>
      <c r="R24" s="1083"/>
      <c r="S24" s="1083"/>
      <c r="T24" s="1083"/>
      <c r="U24" s="1083"/>
      <c r="V24" s="1083"/>
      <c r="W24" s="1083"/>
      <c r="X24" s="1083"/>
      <c r="Y24" s="1083"/>
      <c r="Z24" s="1083"/>
      <c r="AA24" s="1083"/>
      <c r="AB24" s="1083"/>
      <c r="AC24" s="1083"/>
      <c r="AD24" s="1095"/>
      <c r="AE24" s="1095"/>
      <c r="AF24" s="1095"/>
      <c r="AG24" s="1096"/>
      <c r="AH24" s="1095"/>
      <c r="AI24" s="1096"/>
      <c r="AJ24" s="1083"/>
      <c r="AK24" s="1083"/>
      <c r="AL24" s="1083"/>
      <c r="AM24" s="1083"/>
      <c r="AN24" s="1083"/>
      <c r="AO24" s="1083"/>
      <c r="AP24" s="1083"/>
      <c r="AQ24" s="1083"/>
      <c r="AR24" s="1083"/>
      <c r="AS24" s="1083"/>
      <c r="AT24" s="1083"/>
      <c r="AU24" s="1083"/>
      <c r="AV24" s="1083"/>
      <c r="AW24" s="1083"/>
      <c r="AX24" s="1083"/>
      <c r="AY24" s="1083"/>
      <c r="AZ24" s="1083"/>
      <c r="BA24" s="1083"/>
      <c r="BB24" s="1083"/>
      <c r="BC24" s="1083"/>
      <c r="BD24" s="1083"/>
      <c r="BE24" s="1083"/>
      <c r="BF24" s="1091"/>
    </row>
    <row r="25" spans="1:58" ht="15" customHeight="1" x14ac:dyDescent="0.2">
      <c r="A25" s="403"/>
      <c r="B25" s="1070"/>
      <c r="C25" s="1083"/>
      <c r="D25" s="1083"/>
      <c r="E25" s="1083"/>
      <c r="F25" s="1086"/>
      <c r="G25" s="1086"/>
      <c r="H25" s="1088"/>
      <c r="I25" s="1083"/>
      <c r="J25" s="1083"/>
      <c r="K25" s="1083"/>
      <c r="L25" s="1083"/>
      <c r="M25" s="1083"/>
      <c r="N25" s="1083"/>
      <c r="O25" s="1083"/>
      <c r="P25" s="1083"/>
      <c r="Q25" s="1083"/>
      <c r="R25" s="1083"/>
      <c r="S25" s="1083"/>
      <c r="T25" s="1083"/>
      <c r="U25" s="1083"/>
      <c r="V25" s="1083"/>
      <c r="W25" s="1083"/>
      <c r="X25" s="1083"/>
      <c r="Y25" s="1083"/>
      <c r="Z25" s="1083"/>
      <c r="AA25" s="1083"/>
      <c r="AB25" s="1083"/>
      <c r="AC25" s="1083"/>
      <c r="AD25" s="1095"/>
      <c r="AE25" s="1095"/>
      <c r="AF25" s="1095"/>
      <c r="AG25" s="1096"/>
      <c r="AH25" s="1095"/>
      <c r="AI25" s="1096"/>
      <c r="AJ25" s="1083"/>
      <c r="AK25" s="1083"/>
      <c r="AL25" s="1083"/>
      <c r="AM25" s="1083"/>
      <c r="AN25" s="1083"/>
      <c r="AO25" s="1083"/>
      <c r="AP25" s="1083"/>
      <c r="AQ25" s="1083"/>
      <c r="AR25" s="1083"/>
      <c r="AS25" s="1083"/>
      <c r="AT25" s="1083"/>
      <c r="AU25" s="1083"/>
      <c r="AV25" s="1083"/>
      <c r="AW25" s="1083"/>
      <c r="AX25" s="1083"/>
      <c r="AY25" s="1083"/>
      <c r="AZ25" s="1083"/>
      <c r="BA25" s="1083"/>
      <c r="BB25" s="1083"/>
      <c r="BC25" s="1083"/>
      <c r="BD25" s="1083"/>
      <c r="BE25" s="1083"/>
      <c r="BF25" s="1091"/>
    </row>
    <row r="26" spans="1:58" ht="15" customHeight="1" thickBot="1" x14ac:dyDescent="0.25">
      <c r="A26" s="404"/>
      <c r="B26" s="1071"/>
      <c r="C26" s="1084"/>
      <c r="D26" s="1084"/>
      <c r="E26" s="1084"/>
      <c r="F26" s="1087"/>
      <c r="G26" s="1087"/>
      <c r="H26" s="1089"/>
      <c r="I26" s="1084"/>
      <c r="J26" s="1084"/>
      <c r="K26" s="1084"/>
      <c r="L26" s="1084"/>
      <c r="M26" s="1084"/>
      <c r="N26" s="1084"/>
      <c r="O26" s="1084"/>
      <c r="P26" s="1084"/>
      <c r="Q26" s="1084"/>
      <c r="R26" s="1084"/>
      <c r="S26" s="1084"/>
      <c r="T26" s="1084"/>
      <c r="U26" s="1084"/>
      <c r="V26" s="1084"/>
      <c r="W26" s="1084"/>
      <c r="X26" s="1084"/>
      <c r="Y26" s="1084"/>
      <c r="Z26" s="1084"/>
      <c r="AA26" s="1084"/>
      <c r="AB26" s="1084"/>
      <c r="AC26" s="1084"/>
      <c r="AD26" s="1076"/>
      <c r="AE26" s="1076"/>
      <c r="AF26" s="1076"/>
      <c r="AG26" s="1097"/>
      <c r="AH26" s="1076"/>
      <c r="AI26" s="1097"/>
      <c r="AJ26" s="1084"/>
      <c r="AK26" s="1084"/>
      <c r="AL26" s="1084"/>
      <c r="AM26" s="1084"/>
      <c r="AN26" s="1084"/>
      <c r="AO26" s="1084"/>
      <c r="AP26" s="1084"/>
      <c r="AQ26" s="1084"/>
      <c r="AR26" s="1084"/>
      <c r="AS26" s="1084"/>
      <c r="AT26" s="1084"/>
      <c r="AU26" s="1084"/>
      <c r="AV26" s="1084"/>
      <c r="AW26" s="1084"/>
      <c r="AX26" s="1084"/>
      <c r="AY26" s="1084"/>
      <c r="AZ26" s="1084"/>
      <c r="BA26" s="1084"/>
      <c r="BB26" s="1084"/>
      <c r="BC26" s="1084"/>
      <c r="BD26" s="1084"/>
      <c r="BE26" s="1084"/>
      <c r="BF26" s="1092"/>
    </row>
    <row r="27" spans="1:58" x14ac:dyDescent="0.2">
      <c r="A27" s="80"/>
      <c r="B27" s="80"/>
      <c r="C27" s="1072">
        <f t="shared" ref="C27:AH27" si="14">COUNTIF(C3:C26,"y")</f>
        <v>3</v>
      </c>
      <c r="D27" s="1072">
        <f t="shared" si="14"/>
        <v>1</v>
      </c>
      <c r="E27" s="1072">
        <f t="shared" si="14"/>
        <v>1</v>
      </c>
      <c r="F27" s="1072">
        <f t="shared" si="14"/>
        <v>2</v>
      </c>
      <c r="G27" s="1072">
        <f t="shared" si="14"/>
        <v>2</v>
      </c>
      <c r="H27" s="1072">
        <f t="shared" si="14"/>
        <v>4</v>
      </c>
      <c r="I27" s="1072">
        <f t="shared" si="14"/>
        <v>5</v>
      </c>
      <c r="J27" s="1072">
        <f t="shared" si="14"/>
        <v>2</v>
      </c>
      <c r="K27" s="1072">
        <f t="shared" si="14"/>
        <v>5</v>
      </c>
      <c r="L27" s="1072">
        <f t="shared" si="14"/>
        <v>0</v>
      </c>
      <c r="M27" s="1072">
        <f t="shared" si="14"/>
        <v>12</v>
      </c>
      <c r="N27" s="1072">
        <f t="shared" si="14"/>
        <v>10</v>
      </c>
      <c r="O27" s="1072">
        <f t="shared" si="14"/>
        <v>7</v>
      </c>
      <c r="P27" s="1072">
        <f t="shared" si="14"/>
        <v>4</v>
      </c>
      <c r="Q27" s="1072">
        <f t="shared" si="14"/>
        <v>7</v>
      </c>
      <c r="R27" s="1072">
        <f t="shared" si="14"/>
        <v>2</v>
      </c>
      <c r="S27" s="1072">
        <f t="shared" si="14"/>
        <v>6</v>
      </c>
      <c r="T27" s="1072">
        <f t="shared" si="14"/>
        <v>4</v>
      </c>
      <c r="U27" s="1072">
        <f t="shared" si="14"/>
        <v>6</v>
      </c>
      <c r="V27" s="1072">
        <f t="shared" si="14"/>
        <v>1</v>
      </c>
      <c r="W27" s="1072">
        <f t="shared" si="14"/>
        <v>3</v>
      </c>
      <c r="X27" s="1072">
        <f t="shared" si="14"/>
        <v>6</v>
      </c>
      <c r="Y27" s="1072">
        <f t="shared" si="14"/>
        <v>1</v>
      </c>
      <c r="Z27" s="1072">
        <f t="shared" si="14"/>
        <v>5</v>
      </c>
      <c r="AA27" s="1072">
        <f t="shared" si="14"/>
        <v>1</v>
      </c>
      <c r="AB27" s="1072">
        <f t="shared" si="14"/>
        <v>2</v>
      </c>
      <c r="AC27" s="1072">
        <f t="shared" si="14"/>
        <v>2</v>
      </c>
      <c r="AD27" s="1074">
        <f t="shared" si="14"/>
        <v>3</v>
      </c>
      <c r="AE27" s="1074">
        <f t="shared" si="14"/>
        <v>2</v>
      </c>
      <c r="AF27" s="1074">
        <f t="shared" si="14"/>
        <v>3</v>
      </c>
      <c r="AG27" s="1074">
        <f t="shared" si="14"/>
        <v>6</v>
      </c>
      <c r="AH27" s="1074">
        <f t="shared" si="14"/>
        <v>4</v>
      </c>
      <c r="AI27" s="1074">
        <f t="shared" ref="AI27:BF27" si="15">COUNTIF(AI3:AI26,"y")</f>
        <v>1</v>
      </c>
      <c r="AJ27" s="1072">
        <f t="shared" si="15"/>
        <v>7</v>
      </c>
      <c r="AK27" s="1072">
        <f t="shared" si="15"/>
        <v>1</v>
      </c>
      <c r="AL27" s="1072">
        <f t="shared" si="15"/>
        <v>6</v>
      </c>
      <c r="AM27" s="1072">
        <f t="shared" si="15"/>
        <v>3</v>
      </c>
      <c r="AN27" s="1072">
        <f t="shared" si="15"/>
        <v>2</v>
      </c>
      <c r="AO27" s="1072">
        <f t="shared" si="15"/>
        <v>4</v>
      </c>
      <c r="AP27" s="1072">
        <f t="shared" si="15"/>
        <v>3</v>
      </c>
      <c r="AQ27" s="1072">
        <f t="shared" si="15"/>
        <v>2</v>
      </c>
      <c r="AR27" s="1072">
        <f t="shared" si="15"/>
        <v>3</v>
      </c>
      <c r="AS27" s="1072">
        <f t="shared" si="15"/>
        <v>1</v>
      </c>
      <c r="AT27" s="1072">
        <f t="shared" si="15"/>
        <v>3</v>
      </c>
      <c r="AU27" s="1072">
        <f t="shared" si="15"/>
        <v>3</v>
      </c>
      <c r="AV27" s="1072">
        <f t="shared" si="15"/>
        <v>3</v>
      </c>
      <c r="AW27" s="1072">
        <f t="shared" si="15"/>
        <v>3</v>
      </c>
      <c r="AX27" s="1072">
        <f t="shared" si="15"/>
        <v>3</v>
      </c>
      <c r="AY27" s="1072">
        <f t="shared" si="15"/>
        <v>5</v>
      </c>
      <c r="AZ27" s="1072">
        <f t="shared" si="15"/>
        <v>4</v>
      </c>
      <c r="BA27" s="1072">
        <f t="shared" si="15"/>
        <v>1</v>
      </c>
      <c r="BB27" s="1072">
        <f t="shared" si="15"/>
        <v>5</v>
      </c>
      <c r="BC27" s="1072">
        <f t="shared" si="15"/>
        <v>10</v>
      </c>
      <c r="BD27" s="1072">
        <f t="shared" si="15"/>
        <v>8</v>
      </c>
      <c r="BE27" s="1072">
        <f t="shared" si="15"/>
        <v>10</v>
      </c>
      <c r="BF27" s="1072">
        <f t="shared" si="15"/>
        <v>0</v>
      </c>
    </row>
    <row r="28" spans="1:58" ht="42" customHeight="1" x14ac:dyDescent="0.2">
      <c r="A28" s="80"/>
      <c r="B28" s="80"/>
      <c r="C28" s="1" t="str">
        <f t="shared" ref="C28:AP28" si="16">C2</f>
        <v>Climbing: Bouldering Gym</v>
      </c>
      <c r="D28" s="626" t="str">
        <f t="shared" si="16"/>
        <v>Climbing: Climbing Wall/Tower</v>
      </c>
      <c r="E28" s="626" t="str">
        <f t="shared" si="16"/>
        <v>Climbing: Crate Stacking</v>
      </c>
      <c r="F28" s="626" t="str">
        <f t="shared" si="16"/>
        <v>Climbing: Rock Climbing</v>
      </c>
      <c r="G28" s="626" t="str">
        <f t="shared" si="16"/>
        <v>COPE: High Challenge Course</v>
      </c>
      <c r="H28" s="626" t="str">
        <f t="shared" si="16"/>
        <v>COPE: Initiative Games</v>
      </c>
      <c r="I28" s="626" t="str">
        <f t="shared" si="16"/>
        <v>COPE: Low Challenge Course</v>
      </c>
      <c r="J28" s="626" t="str">
        <f t="shared" si="16"/>
        <v>Ecology: Demonstration Forest</v>
      </c>
      <c r="K28" s="626" t="str">
        <f t="shared" si="16"/>
        <v>Ecology: Self-Guided Fishing</v>
      </c>
      <c r="L28" s="626" t="str">
        <f t="shared" si="16"/>
        <v>Evening: Advisor Coffee</v>
      </c>
      <c r="M28" s="626" t="str">
        <f t="shared" si="16"/>
        <v>Evening: Campfire Show</v>
      </c>
      <c r="N28" s="626" t="str">
        <f t="shared" si="16"/>
        <v>Evening: Chuckwagon Dinner</v>
      </c>
      <c r="O28" s="626" t="str">
        <f t="shared" si="16"/>
        <v>Historical: Adobe Brick-Making</v>
      </c>
      <c r="P28" s="626" t="str">
        <f t="shared" si="16"/>
        <v>Historical: Blacksmithing</v>
      </c>
      <c r="Q28" s="626" t="str">
        <f t="shared" si="16"/>
        <v>Historical: Cabin Restoration</v>
      </c>
      <c r="R28" s="626" t="str">
        <f t="shared" si="16"/>
        <v>Historical: Cabin/House Tour</v>
      </c>
      <c r="S28" s="626" t="str">
        <f t="shared" si="16"/>
        <v>Historical: Crafting</v>
      </c>
      <c r="T28" s="626" t="str">
        <f t="shared" si="16"/>
        <v>Historical: Crosscut &amp; Tie Making</v>
      </c>
      <c r="U28" s="626" t="str">
        <f t="shared" si="16"/>
        <v>Historical: Flint Knapping</v>
      </c>
      <c r="V28" s="626" t="str">
        <f t="shared" si="16"/>
        <v>Historical: Fur Trapper Rendezvous</v>
      </c>
      <c r="W28" s="626" t="str">
        <f t="shared" si="16"/>
        <v>Historical: Gold Panning</v>
      </c>
      <c r="X28" s="626" t="str">
        <f t="shared" si="16"/>
        <v>Historical: Mine Tour</v>
      </c>
      <c r="Y28" s="626" t="str">
        <f t="shared" si="16"/>
        <v>Historical: Petroglyph Tour</v>
      </c>
      <c r="Z28" s="626" t="str">
        <f t="shared" si="16"/>
        <v>Historical: Pump Car Rides</v>
      </c>
      <c r="AA28" s="626" t="str">
        <f t="shared" si="16"/>
        <v>Historical: Railroad Construction</v>
      </c>
      <c r="AB28" s="626" t="str">
        <f t="shared" si="16"/>
        <v>Historical: Spar Pole Climbing</v>
      </c>
      <c r="AC28" s="626" t="str">
        <f t="shared" si="16"/>
        <v>Landmarks: Baldy Mountain</v>
      </c>
      <c r="AD28" s="626" t="str">
        <f t="shared" si="16"/>
        <v>Landmarks: Inspiration Point</v>
      </c>
      <c r="AE28" s="626" t="str">
        <f t="shared" si="16"/>
        <v>Landmarks: Mount Phillips</v>
      </c>
      <c r="AF28" s="626" t="str">
        <f t="shared" si="16"/>
        <v>Landmarks: Mountaineering</v>
      </c>
      <c r="AG28" s="626" t="str">
        <f t="shared" ref="AG28" si="17">AG2</f>
        <v>Landmarks: Tooth of Time</v>
      </c>
      <c r="AH28" s="626" t="str">
        <f t="shared" ref="AH28" si="18">AH2</f>
        <v>Landmarks: Trail Peak</v>
      </c>
      <c r="AI28" s="626" t="str">
        <f t="shared" si="16"/>
        <v>Livestock: Animal Husbandry</v>
      </c>
      <c r="AJ28" s="626" t="str">
        <f t="shared" si="16"/>
        <v>Livestock: Burro Packing</v>
      </c>
      <c r="AK28" s="626" t="str">
        <f t="shared" si="16"/>
        <v>Livestock: Chicken Tending</v>
      </c>
      <c r="AL28" s="626" t="str">
        <f t="shared" si="16"/>
        <v>Livestock: Horse Rides</v>
      </c>
      <c r="AM28" s="626" t="str">
        <f t="shared" si="16"/>
        <v>Low Impact Camping</v>
      </c>
      <c r="AN28" s="626" t="str">
        <f t="shared" si="16"/>
        <v>Range Sports: 3D Archery</v>
      </c>
      <c r="AO28" s="626" t="str">
        <f t="shared" si="16"/>
        <v>Range Sports: Aerial Archery</v>
      </c>
      <c r="AP28" s="626" t="str">
        <f t="shared" si="16"/>
        <v>Range Sports: Atlatl Throwing</v>
      </c>
      <c r="AQ28" s="626" t="str">
        <f t="shared" ref="AQ28:AW28" si="19">AQ2</f>
        <v>Range Sports: Cartridge Reloading</v>
      </c>
      <c r="AR28" s="626" t="str">
        <f t="shared" si="19"/>
        <v>Range Sports: Cowboy Action Shooting</v>
      </c>
      <c r="AS28" s="626" t="str">
        <f t="shared" si="19"/>
        <v>Range Sports: Field Archery</v>
      </c>
      <c r="AT28" s="626" t="str">
        <f t="shared" si="19"/>
        <v>Range Sports: Muzzleloader Shooting</v>
      </c>
      <c r="AU28" s="626" t="str">
        <f t="shared" ref="AU28" si="20">AU2</f>
        <v>Range Sports: Rifle Shooting</v>
      </c>
      <c r="AV28" s="626" t="str">
        <f t="shared" si="19"/>
        <v>Range Sports: Shotgun Shooting</v>
      </c>
      <c r="AW28" s="626" t="str">
        <f t="shared" si="19"/>
        <v>Range Sports: Shotshell Reloading</v>
      </c>
      <c r="AX28" s="626" t="str">
        <f t="shared" ref="AX28:BF28" si="21">AX2</f>
        <v>Range Sports: Tomahawk Throwing</v>
      </c>
      <c r="AY28" s="626" t="str">
        <f t="shared" si="21"/>
        <v>STEM: Archeology</v>
      </c>
      <c r="AZ28" s="626" t="str">
        <f t="shared" si="21"/>
        <v>STEM: Astronomy</v>
      </c>
      <c r="BA28" s="626" t="str">
        <f t="shared" si="21"/>
        <v>STEM: Geology</v>
      </c>
      <c r="BB28" s="626" t="str">
        <f t="shared" si="21"/>
        <v>Western Lore: Branding</v>
      </c>
      <c r="BC28" s="626" t="str">
        <f t="shared" si="21"/>
        <v>Western Lore: Cantina</v>
      </c>
      <c r="BD28" s="626" t="str">
        <f t="shared" si="21"/>
        <v>Western Lore: Roping</v>
      </c>
      <c r="BE28" s="626" t="e">
        <f t="shared" si="21"/>
        <v>#REF!</v>
      </c>
      <c r="BF28" s="626" t="e">
        <f t="shared" si="21"/>
        <v>#REF!</v>
      </c>
    </row>
    <row r="29" spans="1:58" x14ac:dyDescent="0.2">
      <c r="AM29" s="1">
        <v>0</v>
      </c>
    </row>
  </sheetData>
  <mergeCells count="1">
    <mergeCell ref="A1:A2"/>
  </mergeCells>
  <printOptions horizontalCentered="1"/>
  <pageMargins left="0.25" right="0.25" top="0.5" bottom="0.5" header="0.5" footer="0.5"/>
  <pageSetup scale="82"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clearDefaultProgramsForItinerary">
                <anchor moveWithCells="1" sizeWithCells="1">
                  <from>
                    <xdr:col>0</xdr:col>
                    <xdr:colOff>0</xdr:colOff>
                    <xdr:row>0</xdr:row>
                    <xdr:rowOff>38100</xdr:rowOff>
                  </from>
                  <to>
                    <xdr:col>0</xdr:col>
                    <xdr:colOff>781050</xdr:colOff>
                    <xdr:row>1</xdr:row>
                    <xdr:rowOff>200025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D25"/>
  <sheetViews>
    <sheetView workbookViewId="0">
      <pane xSplit="2" ySplit="1" topLeftCell="C2" activePane="bottomRight" state="frozenSplit"/>
      <selection activeCell="AK38" sqref="AK38"/>
      <selection pane="topRight" activeCell="AK38" sqref="AK38"/>
      <selection pane="bottomLeft" activeCell="AK38" sqref="AK38"/>
      <selection pane="bottomRight" activeCell="C14" sqref="C14"/>
    </sheetView>
  </sheetViews>
  <sheetFormatPr defaultColWidth="9.140625" defaultRowHeight="15" x14ac:dyDescent="0.2"/>
  <cols>
    <col min="1" max="2" width="9.140625" style="938"/>
    <col min="3" max="3" width="196.140625" style="934" customWidth="1"/>
    <col min="4" max="16384" width="9.140625" style="936"/>
  </cols>
  <sheetData>
    <row r="1" spans="1:4" s="934" customFormat="1" ht="15.75" thickBot="1" x14ac:dyDescent="0.25">
      <c r="A1" s="943" t="s">
        <v>369</v>
      </c>
      <c r="B1" s="944" t="s">
        <v>1</v>
      </c>
      <c r="C1" s="945" t="s">
        <v>457</v>
      </c>
      <c r="D1" s="934" t="s">
        <v>37</v>
      </c>
    </row>
    <row r="2" spans="1:4" x14ac:dyDescent="0.2">
      <c r="A2" s="941">
        <f>LEN(C2)</f>
        <v>389</v>
      </c>
      <c r="B2" s="942" t="str">
        <f>Itineraries!A3</f>
        <v>9-1</v>
      </c>
      <c r="C2" s="939" t="s">
        <v>612</v>
      </c>
      <c r="D2" s="933" t="s">
        <v>37</v>
      </c>
    </row>
    <row r="3" spans="1:4" s="934" customFormat="1" x14ac:dyDescent="0.2">
      <c r="A3" s="935">
        <f t="shared" ref="A3:A13" si="0">LEN(C3)</f>
        <v>495</v>
      </c>
      <c r="B3" s="931" t="str">
        <f>Itineraries!A4</f>
        <v>9-2</v>
      </c>
      <c r="C3" s="939" t="s">
        <v>613</v>
      </c>
      <c r="D3" s="933" t="s">
        <v>37</v>
      </c>
    </row>
    <row r="4" spans="1:4" s="934" customFormat="1" x14ac:dyDescent="0.2">
      <c r="A4" s="935">
        <f t="shared" si="0"/>
        <v>454</v>
      </c>
      <c r="B4" s="931" t="str">
        <f>Itineraries!A5</f>
        <v>9-3</v>
      </c>
      <c r="C4" s="939" t="s">
        <v>614</v>
      </c>
      <c r="D4" s="933" t="s">
        <v>37</v>
      </c>
    </row>
    <row r="5" spans="1:4" s="934" customFormat="1" x14ac:dyDescent="0.2">
      <c r="A5" s="935">
        <f t="shared" si="0"/>
        <v>466</v>
      </c>
      <c r="B5" s="931" t="str">
        <f>Itineraries!A6</f>
        <v>9-4</v>
      </c>
      <c r="C5" s="939" t="s">
        <v>615</v>
      </c>
      <c r="D5" s="933" t="s">
        <v>37</v>
      </c>
    </row>
    <row r="6" spans="1:4" s="934" customFormat="1" x14ac:dyDescent="0.2">
      <c r="A6" s="935">
        <f t="shared" si="0"/>
        <v>433</v>
      </c>
      <c r="B6" s="931" t="str">
        <f>Itineraries!A7</f>
        <v>9-5</v>
      </c>
      <c r="C6" s="939" t="s">
        <v>616</v>
      </c>
      <c r="D6" s="933" t="s">
        <v>37</v>
      </c>
    </row>
    <row r="7" spans="1:4" s="934" customFormat="1" x14ac:dyDescent="0.2">
      <c r="A7" s="935">
        <f t="shared" si="0"/>
        <v>477</v>
      </c>
      <c r="B7" s="931" t="str">
        <f>Itineraries!A8</f>
        <v>9-6</v>
      </c>
      <c r="C7" s="939" t="s">
        <v>617</v>
      </c>
      <c r="D7" s="933" t="s">
        <v>37</v>
      </c>
    </row>
    <row r="8" spans="1:4" s="934" customFormat="1" x14ac:dyDescent="0.2">
      <c r="A8" s="935">
        <f t="shared" si="0"/>
        <v>534</v>
      </c>
      <c r="B8" s="931" t="str">
        <f>Itineraries!A9</f>
        <v>9-7</v>
      </c>
      <c r="C8" s="939" t="s">
        <v>618</v>
      </c>
      <c r="D8" s="933" t="s">
        <v>37</v>
      </c>
    </row>
    <row r="9" spans="1:4" s="934" customFormat="1" x14ac:dyDescent="0.2">
      <c r="A9" s="935">
        <f t="shared" si="0"/>
        <v>483</v>
      </c>
      <c r="B9" s="931" t="str">
        <f>Itineraries!A10</f>
        <v>9-8</v>
      </c>
      <c r="C9" s="939" t="s">
        <v>619</v>
      </c>
      <c r="D9" s="933" t="s">
        <v>37</v>
      </c>
    </row>
    <row r="10" spans="1:4" s="934" customFormat="1" x14ac:dyDescent="0.2">
      <c r="A10" s="935">
        <f t="shared" si="0"/>
        <v>687</v>
      </c>
      <c r="B10" s="931" t="str">
        <f>Itineraries!A11</f>
        <v>9-9</v>
      </c>
      <c r="C10" s="939" t="s">
        <v>620</v>
      </c>
      <c r="D10" s="933" t="s">
        <v>37</v>
      </c>
    </row>
    <row r="11" spans="1:4" s="934" customFormat="1" x14ac:dyDescent="0.2">
      <c r="A11" s="935">
        <f t="shared" si="0"/>
        <v>479</v>
      </c>
      <c r="B11" s="931" t="str">
        <f>Itineraries!A12</f>
        <v>9-10</v>
      </c>
      <c r="C11" s="939" t="s">
        <v>621</v>
      </c>
      <c r="D11" s="933" t="s">
        <v>37</v>
      </c>
    </row>
    <row r="12" spans="1:4" s="934" customFormat="1" x14ac:dyDescent="0.2">
      <c r="A12" s="935">
        <f t="shared" si="0"/>
        <v>725</v>
      </c>
      <c r="B12" s="931" t="str">
        <f>Itineraries!A13</f>
        <v>9-11</v>
      </c>
      <c r="C12" s="939" t="s">
        <v>622</v>
      </c>
      <c r="D12" s="933" t="s">
        <v>37</v>
      </c>
    </row>
    <row r="13" spans="1:4" s="934" customFormat="1" x14ac:dyDescent="0.2">
      <c r="A13" s="935">
        <f t="shared" si="0"/>
        <v>501</v>
      </c>
      <c r="B13" s="931" t="str">
        <f>Itineraries!A14</f>
        <v>9-12</v>
      </c>
      <c r="C13" s="939" t="s">
        <v>623</v>
      </c>
      <c r="D13" s="933" t="s">
        <v>37</v>
      </c>
    </row>
    <row r="14" spans="1:4" s="934" customFormat="1" x14ac:dyDescent="0.2">
      <c r="A14" s="935"/>
      <c r="B14" s="931"/>
      <c r="C14" s="939"/>
      <c r="D14" s="933" t="s">
        <v>37</v>
      </c>
    </row>
    <row r="15" spans="1:4" s="934" customFormat="1" x14ac:dyDescent="0.2">
      <c r="A15" s="935"/>
      <c r="B15" s="931"/>
      <c r="C15" s="939"/>
      <c r="D15" s="933" t="s">
        <v>37</v>
      </c>
    </row>
    <row r="16" spans="1:4" s="934" customFormat="1" x14ac:dyDescent="0.2">
      <c r="A16" s="935"/>
      <c r="B16" s="931"/>
      <c r="C16" s="939"/>
      <c r="D16" s="933" t="s">
        <v>37</v>
      </c>
    </row>
    <row r="17" spans="1:4" s="934" customFormat="1" x14ac:dyDescent="0.2">
      <c r="A17" s="935"/>
      <c r="B17" s="931"/>
      <c r="C17" s="939"/>
      <c r="D17" s="933" t="s">
        <v>37</v>
      </c>
    </row>
    <row r="18" spans="1:4" s="934" customFormat="1" x14ac:dyDescent="0.2">
      <c r="A18" s="935"/>
      <c r="B18" s="931"/>
      <c r="C18" s="939"/>
      <c r="D18" s="933" t="s">
        <v>37</v>
      </c>
    </row>
    <row r="19" spans="1:4" s="934" customFormat="1" x14ac:dyDescent="0.2">
      <c r="A19" s="935"/>
      <c r="B19" s="931"/>
      <c r="C19" s="939"/>
      <c r="D19" s="933" t="s">
        <v>37</v>
      </c>
    </row>
    <row r="20" spans="1:4" s="934" customFormat="1" x14ac:dyDescent="0.2">
      <c r="A20" s="935"/>
      <c r="B20" s="931"/>
      <c r="C20" s="939"/>
      <c r="D20" s="933" t="s">
        <v>37</v>
      </c>
    </row>
    <row r="21" spans="1:4" s="934" customFormat="1" x14ac:dyDescent="0.2">
      <c r="A21" s="935"/>
      <c r="B21" s="931"/>
      <c r="C21" s="939"/>
      <c r="D21" s="933" t="s">
        <v>37</v>
      </c>
    </row>
    <row r="22" spans="1:4" s="934" customFormat="1" x14ac:dyDescent="0.2">
      <c r="A22" s="935"/>
      <c r="B22" s="931"/>
      <c r="C22" s="939"/>
      <c r="D22" s="933" t="s">
        <v>37</v>
      </c>
    </row>
    <row r="23" spans="1:4" s="934" customFormat="1" x14ac:dyDescent="0.2">
      <c r="A23" s="935"/>
      <c r="B23" s="931"/>
      <c r="C23" s="939"/>
      <c r="D23" s="933" t="s">
        <v>37</v>
      </c>
    </row>
    <row r="24" spans="1:4" s="934" customFormat="1" x14ac:dyDescent="0.2">
      <c r="A24" s="935"/>
      <c r="B24" s="931"/>
      <c r="C24" s="939"/>
      <c r="D24" s="933" t="s">
        <v>37</v>
      </c>
    </row>
    <row r="25" spans="1:4" s="934" customFormat="1" ht="15.75" thickBot="1" x14ac:dyDescent="0.25">
      <c r="A25" s="937"/>
      <c r="B25" s="932"/>
      <c r="C25" s="940"/>
      <c r="D25" s="933" t="s">
        <v>37</v>
      </c>
    </row>
  </sheetData>
  <phoneticPr fontId="0" type="noConversion"/>
  <pageMargins left="0.75" right="0.75" top="1" bottom="1" header="0.5" footer="0.5"/>
  <pageSetup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FF0000"/>
  </sheetPr>
  <dimension ref="A1:CB35"/>
  <sheetViews>
    <sheetView showZeros="0" workbookViewId="0">
      <pane xSplit="1" ySplit="2" topLeftCell="B3" activePane="bottomRight" state="frozen"/>
      <selection activeCell="AI5" sqref="AI5:AI27"/>
      <selection pane="topRight" activeCell="AI5" sqref="AI5:AI27"/>
      <selection pane="bottomLeft" activeCell="AI5" sqref="AI5:AI27"/>
      <selection pane="bottomRight" activeCell="F24" sqref="F24"/>
    </sheetView>
  </sheetViews>
  <sheetFormatPr defaultRowHeight="12.75" x14ac:dyDescent="0.2"/>
  <cols>
    <col min="1" max="1" width="11.85546875" style="1" customWidth="1"/>
    <col min="2" max="2" width="12.7109375" style="6" customWidth="1"/>
    <col min="3" max="3" width="9.140625" style="3" customWidth="1"/>
    <col min="4" max="8" width="9.140625" style="1" customWidth="1"/>
    <col min="12" max="12" width="10.28515625" style="22" customWidth="1"/>
    <col min="15" max="19" width="12" customWidth="1"/>
    <col min="20" max="20" width="12" style="1" customWidth="1"/>
    <col min="21" max="22" width="10.28515625" style="22" customWidth="1"/>
    <col min="23" max="23" width="10.28515625" style="6" customWidth="1"/>
    <col min="24" max="24" width="9.140625" style="1" customWidth="1"/>
    <col min="25" max="25" width="13.140625" style="1" customWidth="1"/>
    <col min="26" max="26" width="13.42578125" style="1" customWidth="1"/>
    <col min="27" max="28" width="14.28515625" style="1" customWidth="1"/>
    <col min="29" max="29" width="13" style="1" customWidth="1"/>
    <col min="30" max="30" width="9.140625" style="1" customWidth="1"/>
    <col min="31" max="31" width="9.28515625" style="1" customWidth="1"/>
    <col min="32" max="32" width="12.42578125" style="1" customWidth="1"/>
    <col min="33" max="33" width="14" style="1" customWidth="1"/>
    <col min="34" max="34" width="14.140625" style="1" customWidth="1"/>
    <col min="35" max="35" width="11.28515625" style="1" customWidth="1"/>
    <col min="36" max="36" width="15.140625" style="1" customWidth="1"/>
    <col min="37" max="38" width="12.85546875" style="1" customWidth="1"/>
    <col min="39" max="39" width="11.42578125" style="1" customWidth="1"/>
    <col min="40" max="40" width="11.7109375" style="1" customWidth="1"/>
    <col min="41" max="41" width="15.42578125" style="1" customWidth="1"/>
    <col min="42" max="42" width="15.140625" style="1" customWidth="1"/>
    <col min="43" max="44" width="14.28515625" style="1" customWidth="1"/>
    <col min="45" max="46" width="12" style="1" customWidth="1"/>
    <col min="47" max="49" width="11.42578125" style="1" customWidth="1"/>
    <col min="50" max="50" width="13.85546875" style="1" customWidth="1"/>
    <col min="51" max="51" width="14" style="1" customWidth="1"/>
    <col min="52" max="52" width="13.140625" style="1" customWidth="1"/>
    <col min="53" max="53" width="15.5703125" style="1" customWidth="1"/>
    <col min="54" max="60" width="15.28515625" style="1" customWidth="1"/>
    <col min="61" max="68" width="14.5703125" style="1" customWidth="1"/>
    <col min="69" max="70" width="15.28515625" style="1" customWidth="1"/>
    <col min="71" max="80" width="15.28515625" customWidth="1"/>
  </cols>
  <sheetData>
    <row r="1" spans="1:80" ht="16.5" thickBot="1" x14ac:dyDescent="0.3">
      <c r="A1" s="974" t="s">
        <v>19</v>
      </c>
      <c r="B1" s="975"/>
      <c r="C1" s="976"/>
      <c r="D1" s="977"/>
      <c r="E1" s="977"/>
      <c r="F1" s="977"/>
      <c r="G1" s="977"/>
      <c r="H1" s="977"/>
      <c r="I1" s="978"/>
      <c r="J1" s="978"/>
      <c r="K1" s="978"/>
      <c r="L1" s="979"/>
      <c r="M1" s="978"/>
      <c r="N1" s="978"/>
      <c r="O1" s="978"/>
      <c r="P1" s="978"/>
      <c r="Q1" s="978"/>
      <c r="R1" s="978"/>
      <c r="S1" s="978"/>
      <c r="T1" s="977"/>
      <c r="U1" s="979"/>
      <c r="V1" s="979"/>
      <c r="W1" s="975"/>
      <c r="X1" s="977"/>
      <c r="Y1" s="977">
        <v>1</v>
      </c>
      <c r="Z1" s="977">
        <f>Y1+1</f>
        <v>2</v>
      </c>
      <c r="AA1" s="977">
        <f t="shared" ref="AA1:BN1" si="0">Z1+1</f>
        <v>3</v>
      </c>
      <c r="AB1" s="977">
        <f t="shared" si="0"/>
        <v>4</v>
      </c>
      <c r="AC1" s="977">
        <f t="shared" si="0"/>
        <v>5</v>
      </c>
      <c r="AD1" s="977">
        <f t="shared" si="0"/>
        <v>6</v>
      </c>
      <c r="AE1" s="977">
        <f t="shared" si="0"/>
        <v>7</v>
      </c>
      <c r="AF1" s="977">
        <f t="shared" si="0"/>
        <v>8</v>
      </c>
      <c r="AG1" s="977">
        <f t="shared" si="0"/>
        <v>9</v>
      </c>
      <c r="AH1" s="977">
        <f t="shared" si="0"/>
        <v>10</v>
      </c>
      <c r="AI1" s="977">
        <f t="shared" si="0"/>
        <v>11</v>
      </c>
      <c r="AJ1" s="977">
        <f t="shared" si="0"/>
        <v>12</v>
      </c>
      <c r="AK1" s="977">
        <f t="shared" si="0"/>
        <v>13</v>
      </c>
      <c r="AL1" s="977">
        <f t="shared" si="0"/>
        <v>14</v>
      </c>
      <c r="AM1" s="977">
        <f t="shared" si="0"/>
        <v>15</v>
      </c>
      <c r="AN1" s="977">
        <f t="shared" si="0"/>
        <v>16</v>
      </c>
      <c r="AO1" s="977">
        <f t="shared" si="0"/>
        <v>17</v>
      </c>
      <c r="AP1" s="977">
        <f t="shared" si="0"/>
        <v>18</v>
      </c>
      <c r="AQ1" s="977">
        <f t="shared" si="0"/>
        <v>19</v>
      </c>
      <c r="AR1" s="977">
        <f t="shared" si="0"/>
        <v>20</v>
      </c>
      <c r="AS1" s="977">
        <f t="shared" si="0"/>
        <v>21</v>
      </c>
      <c r="AT1" s="977">
        <f t="shared" si="0"/>
        <v>22</v>
      </c>
      <c r="AU1" s="977">
        <f t="shared" si="0"/>
        <v>23</v>
      </c>
      <c r="AV1" s="977">
        <f t="shared" si="0"/>
        <v>24</v>
      </c>
      <c r="AW1" s="977">
        <f t="shared" si="0"/>
        <v>25</v>
      </c>
      <c r="AX1" s="977">
        <f t="shared" si="0"/>
        <v>26</v>
      </c>
      <c r="AY1" s="977">
        <f t="shared" si="0"/>
        <v>27</v>
      </c>
      <c r="AZ1" s="977">
        <f t="shared" si="0"/>
        <v>28</v>
      </c>
      <c r="BA1" s="977">
        <f t="shared" si="0"/>
        <v>29</v>
      </c>
      <c r="BB1" s="977">
        <f t="shared" si="0"/>
        <v>30</v>
      </c>
      <c r="BC1" s="977">
        <f t="shared" si="0"/>
        <v>31</v>
      </c>
      <c r="BD1" s="977">
        <f t="shared" si="0"/>
        <v>32</v>
      </c>
      <c r="BE1" s="977">
        <f t="shared" si="0"/>
        <v>33</v>
      </c>
      <c r="BF1" s="977">
        <f t="shared" si="0"/>
        <v>34</v>
      </c>
      <c r="BG1" s="977">
        <f t="shared" si="0"/>
        <v>35</v>
      </c>
      <c r="BH1" s="977">
        <f t="shared" si="0"/>
        <v>36</v>
      </c>
      <c r="BI1" s="977">
        <f t="shared" si="0"/>
        <v>37</v>
      </c>
      <c r="BJ1" s="977">
        <f>BI1+1</f>
        <v>38</v>
      </c>
      <c r="BK1" s="977">
        <f>BJ1+1</f>
        <v>39</v>
      </c>
      <c r="BL1" s="977">
        <f>BK1+1</f>
        <v>40</v>
      </c>
      <c r="BM1" s="977">
        <f>BL1+1</f>
        <v>41</v>
      </c>
      <c r="BN1" s="977">
        <f t="shared" si="0"/>
        <v>42</v>
      </c>
      <c r="BO1" s="977">
        <f t="shared" ref="BO1" si="1">BN1+1</f>
        <v>43</v>
      </c>
      <c r="BP1" s="977">
        <f t="shared" ref="BP1" si="2">BO1+1</f>
        <v>44</v>
      </c>
      <c r="BQ1" s="977">
        <f t="shared" ref="BQ1" si="3">BP1+1</f>
        <v>45</v>
      </c>
      <c r="BR1" s="977">
        <f t="shared" ref="BR1" si="4">BQ1+1</f>
        <v>46</v>
      </c>
      <c r="BS1" s="977">
        <f t="shared" ref="BS1" si="5">BR1+1</f>
        <v>47</v>
      </c>
      <c r="BT1" s="977">
        <f t="shared" ref="BT1" si="6">BS1+1</f>
        <v>48</v>
      </c>
      <c r="BU1" s="977">
        <f t="shared" ref="BU1" si="7">BT1+1</f>
        <v>49</v>
      </c>
      <c r="BV1" s="977">
        <f t="shared" ref="BV1" si="8">BU1+1</f>
        <v>50</v>
      </c>
      <c r="BW1" s="977">
        <f t="shared" ref="BW1" si="9">BV1+1</f>
        <v>51</v>
      </c>
      <c r="BX1" s="977">
        <f t="shared" ref="BX1" si="10">BW1+1</f>
        <v>52</v>
      </c>
      <c r="BY1" s="977">
        <f t="shared" ref="BY1" si="11">BX1+1</f>
        <v>53</v>
      </c>
      <c r="BZ1" s="977">
        <f t="shared" ref="BZ1" si="12">BY1+1</f>
        <v>54</v>
      </c>
      <c r="CA1" s="977">
        <f t="shared" ref="CA1" si="13">BZ1+1</f>
        <v>55</v>
      </c>
      <c r="CB1" s="980">
        <f t="shared" ref="CB1" si="14">CA1+1</f>
        <v>56</v>
      </c>
    </row>
    <row r="2" spans="1:80" s="4" customFormat="1" ht="59.45" customHeight="1" thickBot="1" x14ac:dyDescent="0.25">
      <c r="A2" s="981" t="str">
        <f>Itineraries!A2</f>
        <v>Itinerary</v>
      </c>
      <c r="B2" s="373" t="s">
        <v>20</v>
      </c>
      <c r="C2" s="374" t="s">
        <v>2</v>
      </c>
      <c r="D2" s="375" t="s">
        <v>16</v>
      </c>
      <c r="E2" s="578" t="s">
        <v>381</v>
      </c>
      <c r="F2" s="578" t="s">
        <v>380</v>
      </c>
      <c r="G2" s="376" t="s">
        <v>3</v>
      </c>
      <c r="H2" s="376" t="s">
        <v>4</v>
      </c>
      <c r="I2" s="376" t="s">
        <v>5</v>
      </c>
      <c r="J2" s="582" t="s">
        <v>320</v>
      </c>
      <c r="K2" s="583" t="s">
        <v>326</v>
      </c>
      <c r="L2" s="584" t="s">
        <v>327</v>
      </c>
      <c r="M2" s="571" t="s">
        <v>373</v>
      </c>
      <c r="N2" s="572" t="s">
        <v>350</v>
      </c>
      <c r="O2" s="1060" t="s">
        <v>519</v>
      </c>
      <c r="P2" s="376" t="s">
        <v>520</v>
      </c>
      <c r="Q2" s="376" t="s">
        <v>521</v>
      </c>
      <c r="R2" s="376" t="s">
        <v>552</v>
      </c>
      <c r="S2" s="376" t="s">
        <v>541</v>
      </c>
      <c r="T2" s="376" t="s">
        <v>542</v>
      </c>
      <c r="U2" s="377" t="s">
        <v>11</v>
      </c>
      <c r="V2" s="377" t="s">
        <v>13</v>
      </c>
      <c r="W2" s="377" t="s">
        <v>12</v>
      </c>
      <c r="X2" s="1061" t="s">
        <v>10</v>
      </c>
      <c r="Y2" s="1056" t="str" cm="1">
        <f t="array" ref="Y2">INDEX(program_table,Y$1)</f>
        <v>Climbing: Bouldering Gym</v>
      </c>
      <c r="Z2" s="378" t="str" cm="1">
        <f t="array" ref="Z2">INDEX(program_table,Z$1)</f>
        <v>Climbing: Climbing Wall/Tower</v>
      </c>
      <c r="AA2" s="378" t="str" cm="1">
        <f t="array" ref="AA2">INDEX(program_table,AA$1)</f>
        <v>Climbing: Crate Stacking</v>
      </c>
      <c r="AB2" s="378" t="str" cm="1">
        <f t="array" ref="AB2">INDEX(program_table,AB$1)</f>
        <v>Climbing: Rock Climbing</v>
      </c>
      <c r="AC2" s="378" t="str" cm="1">
        <f t="array" ref="AC2">INDEX(program_table,AC$1)</f>
        <v>COPE: High Challenge Course</v>
      </c>
      <c r="AD2" s="378" t="str" cm="1">
        <f t="array" ref="AD2">INDEX(program_table,AD$1)</f>
        <v>COPE: Initiative Games</v>
      </c>
      <c r="AE2" s="378" t="str" cm="1">
        <f t="array" ref="AE2">INDEX(program_table,AE$1)</f>
        <v>COPE: Low Challenge Course</v>
      </c>
      <c r="AF2" s="378" t="str" cm="1">
        <f t="array" ref="AF2">INDEX(program_table,AF$1)</f>
        <v>Ecology: Demonstration Forest</v>
      </c>
      <c r="AG2" s="378" t="str" cm="1">
        <f t="array" ref="AG2">INDEX(program_table,AG$1)</f>
        <v>Ecology: Self-Guided Fishing</v>
      </c>
      <c r="AH2" s="378" t="str" cm="1">
        <f t="array" ref="AH2">INDEX(program_table,AH$1)</f>
        <v>Evening: Advisor Coffee</v>
      </c>
      <c r="AI2" s="378" t="str" cm="1">
        <f t="array" ref="AI2">INDEX(program_table,AI$1)</f>
        <v>Evening: Campfire Show</v>
      </c>
      <c r="AJ2" s="378" t="str" cm="1">
        <f t="array" ref="AJ2">INDEX(program_table,AJ$1)</f>
        <v>Evening: Chuckwagon Dinner</v>
      </c>
      <c r="AK2" s="378" t="str" cm="1">
        <f t="array" ref="AK2">INDEX(program_table,AK$1)</f>
        <v>Historical: Adobe Brick-Making</v>
      </c>
      <c r="AL2" s="378" t="str" cm="1">
        <f t="array" ref="AL2">INDEX(program_table,AL$1)</f>
        <v>Historical: Blacksmithing</v>
      </c>
      <c r="AM2" s="378" t="str" cm="1">
        <f t="array" ref="AM2">INDEX(program_table,AM$1)</f>
        <v>Historical: Cabin Restoration</v>
      </c>
      <c r="AN2" s="378" t="str" cm="1">
        <f t="array" ref="AN2">INDEX(program_table,AN$1)</f>
        <v>Historical: Cabin/House Tour</v>
      </c>
      <c r="AO2" s="378" t="str" cm="1">
        <f t="array" ref="AO2">INDEX(program_table,AO$1)</f>
        <v>Historical: Crafting</v>
      </c>
      <c r="AP2" s="378" t="str" cm="1">
        <f t="array" ref="AP2">INDEX(program_table,AP$1)</f>
        <v>Historical: Crosscut &amp; Tie Making</v>
      </c>
      <c r="AQ2" s="378" t="str" cm="1">
        <f t="array" ref="AQ2">INDEX(program_table,AQ$1)</f>
        <v>Historical: Flint Knapping</v>
      </c>
      <c r="AR2" s="378" t="str" cm="1">
        <f t="array" ref="AR2">INDEX(program_table,AR$1)</f>
        <v>Historical: Fur Trapper Rendezvous</v>
      </c>
      <c r="AS2" s="378" t="str" cm="1">
        <f t="array" ref="AS2">INDEX(program_table,AS$1)</f>
        <v>Historical: Gold Panning</v>
      </c>
      <c r="AT2" s="378" t="str" cm="1">
        <f t="array" ref="AT2">INDEX(program_table,AT$1)</f>
        <v>Historical: Mine Tour</v>
      </c>
      <c r="AU2" s="378" t="str" cm="1">
        <f t="array" ref="AU2">INDEX(program_table,AU$1)</f>
        <v>Historical: Petroglyph Tour</v>
      </c>
      <c r="AV2" s="378" t="str" cm="1">
        <f t="array" ref="AV2">INDEX(program_table,AV$1)</f>
        <v>Historical: Pump Car Rides</v>
      </c>
      <c r="AW2" s="378" t="str" cm="1">
        <f t="array" ref="AW2">INDEX(program_table,AW$1)</f>
        <v>Historical: Railroad Construction</v>
      </c>
      <c r="AX2" s="378" t="str" cm="1">
        <f t="array" ref="AX2">INDEX(program_table,AX$1)</f>
        <v>Historical: Spar Pole Climbing</v>
      </c>
      <c r="AY2" s="378" t="str" cm="1">
        <f t="array" ref="AY2">INDEX(program_table,AY$1)</f>
        <v>Landmarks: Baldy Mountain</v>
      </c>
      <c r="AZ2" s="378" t="str" cm="1">
        <f t="array" ref="AZ2">INDEX(program_table,AZ$1)</f>
        <v>Landmarks: Inspiration Point</v>
      </c>
      <c r="BA2" s="378" t="str" cm="1">
        <f t="array" ref="BA2">INDEX(program_table,BA$1)</f>
        <v>Landmarks: Mount Phillips</v>
      </c>
      <c r="BB2" s="378" t="str" cm="1">
        <f t="array" ref="BB2">INDEX(program_table,BB$1)</f>
        <v>Landmarks: Mountaineering</v>
      </c>
      <c r="BC2" s="378" t="str" cm="1">
        <f t="array" ref="BC2">INDEX(program_table,BC$1)</f>
        <v>Landmarks: Tooth of Time</v>
      </c>
      <c r="BD2" s="378" t="str" cm="1">
        <f t="array" ref="BD2">INDEX(program_table,BD$1)</f>
        <v>Landmarks: Trail Peak</v>
      </c>
      <c r="BE2" s="378" t="str" cm="1">
        <f t="array" ref="BE2">INDEX(program_table,BE$1)</f>
        <v>Livestock: Animal Husbandry</v>
      </c>
      <c r="BF2" s="378" t="str" cm="1">
        <f t="array" ref="BF2">INDEX(program_table,BF$1)</f>
        <v>Livestock: Burro Packing</v>
      </c>
      <c r="BG2" s="378" t="str" cm="1">
        <f t="array" ref="BG2">INDEX(program_table,BG$1)</f>
        <v>Livestock: Chicken Tending</v>
      </c>
      <c r="BH2" s="378" t="str" cm="1">
        <f t="array" ref="BH2">INDEX(program_table,BH$1)</f>
        <v>Livestock: Horse Rides</v>
      </c>
      <c r="BI2" s="378" t="str" cm="1">
        <f t="array" ref="BI2">INDEX(program_table,BI$1)</f>
        <v>Low Impact Camping</v>
      </c>
      <c r="BJ2" s="378" t="str" cm="1">
        <f t="array" ref="BJ2">INDEX(program_table,BJ$1)</f>
        <v>Range Sports: 3D Archery</v>
      </c>
      <c r="BK2" s="378" t="str" cm="1">
        <f t="array" ref="BK2">INDEX(program_table,BK$1)</f>
        <v>Range Sports: Aerial Archery</v>
      </c>
      <c r="BL2" s="378" t="str" cm="1">
        <f t="array" ref="BL2">INDEX(program_table,BL$1)</f>
        <v>Range Sports: Atlatl Throwing</v>
      </c>
      <c r="BM2" s="378" t="str" cm="1">
        <f t="array" ref="BM2">INDEX(program_table,BM$1)</f>
        <v>Range Sports: Cartridge Reloading</v>
      </c>
      <c r="BN2" s="378" t="str" cm="1">
        <f t="array" ref="BN2">INDEX(program_table,BN$1)</f>
        <v>Range Sports: Cowboy Action Shooting</v>
      </c>
      <c r="BO2" s="378" t="str" cm="1">
        <f t="array" ref="BO2">INDEX(program_table,BO$1)</f>
        <v>Range Sports: Field Archery</v>
      </c>
      <c r="BP2" s="378" t="str" cm="1">
        <f t="array" ref="BP2">INDEX(program_table,BP$1)</f>
        <v>Range Sports: Muzzleloader Shooting</v>
      </c>
      <c r="BQ2" s="378" t="str" cm="1">
        <f t="array" ref="BQ2">INDEX(program_table,BQ$1)</f>
        <v>Range Sports: Rifle Shooting</v>
      </c>
      <c r="BR2" s="378" t="str" cm="1">
        <f t="array" ref="BR2">INDEX(program_table,BR$1)</f>
        <v>Range Sports: Shotgun Shooting</v>
      </c>
      <c r="BS2" s="378" t="str" cm="1">
        <f t="array" ref="BS2">INDEX(program_table,BS$1)</f>
        <v>Range Sports: Shotshell Reloading</v>
      </c>
      <c r="BT2" s="378" t="str" cm="1">
        <f t="array" ref="BT2">INDEX(program_table,BT$1)</f>
        <v>Range Sports: Tomahawk Throwing</v>
      </c>
      <c r="BU2" s="378" t="str" cm="1">
        <f t="array" ref="BU2">INDEX(program_table,BU$1)</f>
        <v>STEM: Archeology</v>
      </c>
      <c r="BV2" s="378" t="str" cm="1">
        <f t="array" ref="BV2">INDEX(program_table,BV$1)</f>
        <v>STEM: Astronomy</v>
      </c>
      <c r="BW2" s="378" t="str" cm="1">
        <f t="array" ref="BW2">INDEX(program_table,BW$1)</f>
        <v>STEM: Geology</v>
      </c>
      <c r="BX2" s="378" t="str" cm="1">
        <f t="array" ref="BX2">INDEX(program_table,BX$1)</f>
        <v>Western Lore: Branding</v>
      </c>
      <c r="BY2" s="378" t="str" cm="1">
        <f t="array" ref="BY2">INDEX(program_table,BY$1)</f>
        <v>Western Lore: Cantina</v>
      </c>
      <c r="BZ2" s="378" t="str" cm="1">
        <f t="array" ref="BZ2">INDEX(program_table,BZ$1)</f>
        <v>Western Lore: Roping</v>
      </c>
      <c r="CA2" s="378" t="e" cm="1">
        <f t="array" ref="CA2">INDEX(program_table,CA$1)</f>
        <v>#REF!</v>
      </c>
      <c r="CB2" s="982" t="e" cm="1">
        <f t="array" ref="CB2">INDEX(program_table,CB$1)</f>
        <v>#REF!</v>
      </c>
    </row>
    <row r="3" spans="1:80" x14ac:dyDescent="0.2">
      <c r="A3" s="221" t="str">
        <f>Itineraries!A3</f>
        <v>9-1</v>
      </c>
      <c r="B3" s="367">
        <f t="shared" ref="B3" si="15">SUM(C3:BU3)</f>
        <v>11089.25</v>
      </c>
      <c r="C3" s="348" cm="1">
        <f t="array" ref="C3">getScoreFactor(C$2,itineraryCamps!C4)</f>
        <v>2500</v>
      </c>
      <c r="D3" s="348" cm="1">
        <f t="array" ref="D3">getScoreFactor(D$2,"Miles") *itineraryCamps!D4</f>
        <v>4000</v>
      </c>
      <c r="E3" s="579" cm="1">
        <f t="array" ref="E3">getScoreFactor(E$2,Itineraries!B3)</f>
        <v>30</v>
      </c>
      <c r="F3" s="579" cm="1">
        <f t="array" ref="F3">getScoreFactor(F$2,Itineraries!C3)</f>
        <v>90</v>
      </c>
      <c r="G3" s="349" cm="1">
        <f t="array" ref="G3">getScoreFactor(G$2,Itineraries!D3)</f>
        <v>100</v>
      </c>
      <c r="H3" s="349" cm="1">
        <f t="array" ref="H3">getScoreFactor(H$2,Itineraries!E3)</f>
        <v>100</v>
      </c>
      <c r="I3" s="349" cm="1">
        <f t="array" ref="I3">getScoreFactor(I$2,Itineraries!G3)</f>
        <v>75</v>
      </c>
      <c r="J3" s="585" cm="1">
        <f t="array" ref="J3">getScoreFactor(J$2,Itineraries!J3)</f>
        <v>50</v>
      </c>
      <c r="K3" s="585" cm="1">
        <f t="array" ref="K3">getScoreFactor(K$2,Itineraries!K3)</f>
        <v>60</v>
      </c>
      <c r="L3" s="586" cm="1">
        <f t="array" ref="L3">getScoreFactor(L$2,Itineraries!L3)</f>
        <v>300</v>
      </c>
      <c r="M3" s="573" cm="1">
        <f t="array" ref="M3">IF(INDEX(startingTA,numericItinerary($A3))=$M$2,getScoreFactor(M$2,"y"),getScoreFactor(M$2,"n"))</f>
        <v>0</v>
      </c>
      <c r="N3" s="574" cm="1">
        <f t="array" ref="N3">IF(INDEX(endingTA,numericItinerary($A3))=$N$2,getScoreFactor(N$2,"y"),getScoreFactor(N$2,"n"))</f>
        <v>0</v>
      </c>
      <c r="O3" s="1062" t="str" cm="1">
        <f t="array" ref="O3">IF(INDEX(baldyMountainHike,numericItinerary($A3))="","",getPeakScore(O$2))</f>
        <v/>
      </c>
      <c r="P3" s="724" t="str" cm="1">
        <f t="array" ref="P3">IF(INDEX(mountPhillipsHike,numericItinerary($A3))="","",getPeakScore(P$2))</f>
        <v/>
      </c>
      <c r="Q3" s="724" t="str" cm="1">
        <f t="array" ref="Q3">IF(INDEX(toothOfTimeHike,numericItinerary($A3))="","",getPeakScore(Q$2))</f>
        <v/>
      </c>
      <c r="R3" s="724" cm="1">
        <f t="array" ref="R3">IF(INDEX(inspirationPointHike,numericItinerary($A3))="","",getPeakScore(Q$2))</f>
        <v>303.75</v>
      </c>
      <c r="S3" s="724" t="str" cm="1">
        <f t="array" ref="S3">IF(INDEX(trailPeakHike,numericItinerary($A3))="","",getPeakScore(S$2))</f>
        <v/>
      </c>
      <c r="T3" s="724" t="str" cm="1">
        <f t="array" ref="T3">IF(INDEX(mountaineeringHike,numericItinerary($A3))="","",getPeakScore(T$2))</f>
        <v/>
      </c>
      <c r="U3" s="350" cm="1">
        <f t="array" ref="U3">IF(areaImportant&lt;&gt;"y","",IF(Itineraries!P3&lt;&gt;"Y","",getareascore(U$2)))</f>
        <v>200</v>
      </c>
      <c r="V3" s="350" t="str" cm="1">
        <f t="array" ref="V3">IF(areaImportant&lt;&gt;"y","",IF(Itineraries!Q3&lt;&gt;"Y","",getareascore(V$2)))</f>
        <v/>
      </c>
      <c r="W3" s="350" t="str" cm="1">
        <f t="array" ref="W3">IF(areaImportant&lt;&gt;"y","",IF(Itineraries!R3&lt;&gt;"Y","",getareascore(W$2)))</f>
        <v/>
      </c>
      <c r="X3" s="1063" t="str" cm="1">
        <f t="array" ref="X3">IF(areaImportant&lt;&gt;"y","",IF(Itineraries!S3&lt;&gt;"Y","",getareascore(X$2)))</f>
        <v/>
      </c>
      <c r="Y3" s="1057" cm="1">
        <f t="array" ref="Y3">IF(ItineraryPrograms!C3="y",getScoreFactor("Program",Y$2),"")</f>
        <v>228</v>
      </c>
      <c r="Z3" s="716" cm="1">
        <f t="array" ref="Z3">IF(ItineraryPrograms!D3="y",getScoreFactor("Program",Z$2),"")</f>
        <v>337.5</v>
      </c>
      <c r="AA3" s="716" cm="1">
        <f t="array" ref="AA3">IF(ItineraryPrograms!E3="y",getScoreFactor("Program",AA$2),"")</f>
        <v>114</v>
      </c>
      <c r="AB3" s="716" cm="1">
        <f t="array" ref="AB3">IF(ItineraryPrograms!F3="y",getScoreFactor("Program",AB$2),"")</f>
        <v>282</v>
      </c>
      <c r="AC3" s="716" cm="1">
        <f t="array" ref="AC3">IF(ItineraryPrograms!G3="y",getScoreFactor("Program",AC$2),"")</f>
        <v>162</v>
      </c>
      <c r="AD3" s="716" cm="1">
        <f t="array" ref="AD3">IF(ItineraryPrograms!H3="y",getScoreFactor("Program",AD$2),"")</f>
        <v>166.5</v>
      </c>
      <c r="AE3" s="716" cm="1">
        <f t="array" ref="AE3">IF(ItineraryPrograms!I3="y",getScoreFactor("Program",AE$2),"")</f>
        <v>166.5</v>
      </c>
      <c r="AF3" s="716" t="str" cm="1">
        <f t="array" ref="AF3">IF(ItineraryPrograms!J3="y",getScoreFactor("Program",AF$2),"")</f>
        <v/>
      </c>
      <c r="AG3" s="716" cm="1">
        <f t="array" ref="AG3">IF(ItineraryPrograms!K3="y",getScoreFactor("Program",AG$2),"")</f>
        <v>130.5</v>
      </c>
      <c r="AH3" s="716" t="str" cm="1">
        <f t="array" ref="AH3">IF(ItineraryPrograms!L3="y",getScoreFactor("Program",AH$2),"")</f>
        <v/>
      </c>
      <c r="AI3" s="716" cm="1">
        <f t="array" ref="AI3">IF(ItineraryPrograms!M3="y",getScoreFactor("Program",AI$2),"")</f>
        <v>109.5</v>
      </c>
      <c r="AJ3" s="716" cm="1">
        <f t="array" ref="AJ3">IF(ItineraryPrograms!N3="y",getScoreFactor("Program",AJ$2),"")</f>
        <v>109.5</v>
      </c>
      <c r="AK3" s="716" cm="1">
        <f t="array" ref="AK3">IF(ItineraryPrograms!O3="y",getScoreFactor("Program",AK$2),"")</f>
        <v>111</v>
      </c>
      <c r="AL3" s="716" cm="1">
        <f t="array" ref="AL3">IF(ItineraryPrograms!P3="y",getScoreFactor("Program",AL$2),"")</f>
        <v>114</v>
      </c>
      <c r="AM3" s="716" cm="1">
        <f t="array" ref="AM3">IF(ItineraryPrograms!Q3="y",getScoreFactor("Program",AM$2),"")</f>
        <v>123</v>
      </c>
      <c r="AN3" s="716" t="str" cm="1">
        <f t="array" ref="AN3">IF(ItineraryPrograms!R3="y",getScoreFactor("Program",AN$2),"")</f>
        <v/>
      </c>
      <c r="AO3" s="716" cm="1">
        <f t="array" ref="AO3">IF(ItineraryPrograms!S3="y",getScoreFactor("Program",AO$2),"")</f>
        <v>106.5</v>
      </c>
      <c r="AP3" s="716" cm="1">
        <f t="array" ref="AP3">IF(ItineraryPrograms!T3="y",getScoreFactor("Program",AP$2),"")</f>
        <v>145.5</v>
      </c>
      <c r="AQ3" s="716" cm="1">
        <f t="array" ref="AQ3">IF(ItineraryPrograms!U3="y",getScoreFactor("Program",AQ$2),"")</f>
        <v>93</v>
      </c>
      <c r="AR3" s="716" t="str" cm="1">
        <f t="array" ref="AR3">IF(ItineraryPrograms!V3="y",getScoreFactor("Program",AR$2),"")</f>
        <v/>
      </c>
      <c r="AS3" s="716" t="str" cm="1">
        <f t="array" ref="AS3">IF(ItineraryPrograms!W3="y",getScoreFactor("Program",AS$2),"")</f>
        <v/>
      </c>
      <c r="AT3" s="716" t="str" cm="1">
        <f t="array" ref="AT3">IF(ItineraryPrograms!X3="y",getScoreFactor("Program",AT$2),"")</f>
        <v/>
      </c>
      <c r="AU3" s="716" t="str" cm="1">
        <f t="array" ref="AU3">IF(ItineraryPrograms!Y3="y",getScoreFactor("Program",AU$2),"")</f>
        <v/>
      </c>
      <c r="AV3" s="716" t="str" cm="1">
        <f t="array" ref="AV3">IF(ItineraryPrograms!Z3="y",getScoreFactor("Program",AV$2),"")</f>
        <v/>
      </c>
      <c r="AW3" s="716" t="str" cm="1">
        <f t="array" ref="AW3">IF(ItineraryPrograms!AA3="y",getScoreFactor("Program",AW$2),"")</f>
        <v/>
      </c>
      <c r="AX3" s="716" t="str" cm="1">
        <f t="array" ref="AX3">IF(ItineraryPrograms!AB3="y",getScoreFactor("Program",AX$2),"")</f>
        <v/>
      </c>
      <c r="AY3" s="716" t="str" cm="1">
        <f t="array" ref="AY3">IF(ItineraryPrograms!AC3="y",getScoreFactor("Program",AY$2),"")</f>
        <v/>
      </c>
      <c r="AZ3" s="716" t="str" cm="1">
        <f t="array" ref="AZ3">IF(ItineraryPrograms!AD3="y",getScoreFactor("Program",AZ$2),"")</f>
        <v/>
      </c>
      <c r="BA3" s="716" cm="1">
        <f t="array" ref="BA3">IF(ItineraryPrograms!AE3="y",getScoreFactor("Program",BA$2),"")</f>
        <v>154.5</v>
      </c>
      <c r="BB3" s="716" t="str" cm="1">
        <f t="array" ref="BB3">IF(ItineraryPrograms!AF3="y",getScoreFactor("Program",BB$2),"")</f>
        <v/>
      </c>
      <c r="BC3" s="716" t="str" cm="1">
        <f t="array" ref="BC3">IF(ItineraryPrograms!AG3="y",getScoreFactor("Program",BC$2),"")</f>
        <v/>
      </c>
      <c r="BD3" s="716" t="str" cm="1">
        <f t="array" ref="BD3">IF(ItineraryPrograms!AH3="y",getScoreFactor("Program",BD$2),"")</f>
        <v/>
      </c>
      <c r="BE3" s="716" t="str" cm="1">
        <f t="array" ref="BE3">IF(ItineraryPrograms!AI3="y",getScoreFactor("Program",BE$2),"")</f>
        <v/>
      </c>
      <c r="BF3" s="716" cm="1">
        <f t="array" ref="BF3">IF(ItineraryPrograms!AJ3="y",getScoreFactor("Program",BF$2),"")</f>
        <v>220.5</v>
      </c>
      <c r="BG3" s="716" t="str" cm="1">
        <f t="array" ref="BG3">IF(ItineraryPrograms!AK3="y",getScoreFactor("Program",BG$2),"")</f>
        <v/>
      </c>
      <c r="BH3" s="716" cm="1">
        <f t="array" ref="BH3">IF(ItineraryPrograms!AL3="y",getScoreFactor("Program",BH$2),"")</f>
        <v>255</v>
      </c>
      <c r="BI3" s="716" t="str" cm="1">
        <f t="array" ref="BI3">IF(ItineraryPrograms!AM3="y",getScoreFactor("Program",BI$2),"")</f>
        <v/>
      </c>
      <c r="BJ3" s="716" t="str" cm="1">
        <f t="array" ref="BJ3">IF(ItineraryPrograms!AN3="y",getScoreFactor("Program",BJ$2),"")</f>
        <v/>
      </c>
      <c r="BK3" s="716" t="str" cm="1">
        <f t="array" ref="BK3">IF(ItineraryPrograms!AO3="y",getScoreFactor("Program",BK$2),"")</f>
        <v/>
      </c>
      <c r="BL3" s="716" t="str" cm="1">
        <f t="array" ref="BL3">IF(ItineraryPrograms!AP3="y",getScoreFactor("Program",BL$2),"")</f>
        <v/>
      </c>
      <c r="BM3" s="716" t="str" cm="1">
        <f t="array" ref="BM3">IF(ItineraryPrograms!AQ3="y",getScoreFactor("Program",BM$2),"")</f>
        <v/>
      </c>
      <c r="BN3" s="716" t="str" cm="1">
        <f t="array" ref="BN3">IF(ItineraryPrograms!AR3="y",getScoreFactor("Program",BN$2),"")</f>
        <v/>
      </c>
      <c r="BO3" s="716" t="str" cm="1">
        <f t="array" ref="BO3">IF(ItineraryPrograms!AS3="y",getScoreFactor("Program",BO$2),"")</f>
        <v/>
      </c>
      <c r="BP3" s="716" t="str" cm="1">
        <f t="array" ref="BP3">IF(ItineraryPrograms!AT3="y",getScoreFactor("Program",BP$2),"")</f>
        <v/>
      </c>
      <c r="BQ3" s="716" cm="1">
        <f t="array" ref="BQ3">IF(ItineraryPrograms!AU3="y",getScoreFactor("Program",BQ$2),"")</f>
        <v>151.5</v>
      </c>
      <c r="BR3" s="716" t="str" cm="1">
        <f t="array" ref="BR3">IF(ItineraryPrograms!AV3="y",getScoreFactor("Program",BR$2),"")</f>
        <v/>
      </c>
      <c r="BS3" s="716" t="str" cm="1">
        <f t="array" ref="BS3">IF(ItineraryPrograms!AW3="y",getScoreFactor("Program",BS$2),"")</f>
        <v/>
      </c>
      <c r="BT3" s="716" t="str" cm="1">
        <f t="array" ref="BT3">IF(ItineraryPrograms!AX3="y",getScoreFactor("Program",BT$2),"")</f>
        <v/>
      </c>
      <c r="BU3" s="716" t="str" cm="1">
        <f t="array" ref="BU3">IF(ItineraryPrograms!AY3="y",getScoreFactor("Program",BU$2),"")</f>
        <v/>
      </c>
      <c r="BV3" s="716" t="str" cm="1">
        <f t="array" ref="BV3">IF(ItineraryPrograms!AZ3="y",getScoreFactor("Program",BV$2),"")</f>
        <v/>
      </c>
      <c r="BW3" s="716" t="str" cm="1">
        <f t="array" ref="BW3">IF(ItineraryPrograms!BA3="y",getScoreFactor("Program",BW$2),"")</f>
        <v/>
      </c>
      <c r="BX3" s="716" t="str" cm="1">
        <f t="array" ref="BX3">IF(ItineraryPrograms!BB3="y",getScoreFactor("Program",BX$2),"")</f>
        <v/>
      </c>
      <c r="BY3" s="716" cm="1">
        <f t="array" ref="BY3">IF(ItineraryPrograms!BC3="y",getScoreFactor("Program",BY$2),"")</f>
        <v>133.5</v>
      </c>
      <c r="BZ3" s="716" cm="1">
        <f t="array" ref="BZ3">IF(ItineraryPrograms!BD3="y",getScoreFactor("Program",BZ$2),"")</f>
        <v>285</v>
      </c>
      <c r="CA3" s="716" t="e" cm="1">
        <f t="array" ref="CA3">IF(ItineraryPrograms!BE3="y",getScoreFactor("Program",CA$2),"")</f>
        <v>#VALUE!</v>
      </c>
      <c r="CB3" s="983" t="str" cm="1">
        <f t="array" ref="CB3">IF(ItineraryPrograms!BF3="y",getScoreFactor("Program",CB$2),"")</f>
        <v/>
      </c>
    </row>
    <row r="4" spans="1:80" x14ac:dyDescent="0.2">
      <c r="A4" s="185" t="str">
        <f>Itineraries!A4</f>
        <v>9-2</v>
      </c>
      <c r="B4" s="365">
        <f t="shared" ref="B4:B13" si="16">SUM(C4:BU4)</f>
        <v>10262</v>
      </c>
      <c r="C4" s="348" cm="1">
        <f t="array" ref="C4">getScoreFactor(C$2,itineraryCamps!C5)</f>
        <v>2500</v>
      </c>
      <c r="D4" s="341" cm="1">
        <f t="array" ref="D4">getScoreFactor(D$2,"Miles") *itineraryCamps!D5</f>
        <v>3600</v>
      </c>
      <c r="E4" s="580" cm="1">
        <f t="array" ref="E4">getScoreFactor(E$2,Itineraries!B4)</f>
        <v>30</v>
      </c>
      <c r="F4" s="580" cm="1">
        <f t="array" ref="F4">getScoreFactor(F$2,Itineraries!C4)</f>
        <v>90</v>
      </c>
      <c r="G4" s="349" cm="1">
        <f t="array" ref="G4">getScoreFactor(G$2,Itineraries!E4)</f>
        <v>50</v>
      </c>
      <c r="H4" s="349" cm="1">
        <f t="array" ref="H4">getScoreFactor(H$2,Itineraries!H4)</f>
        <v>250</v>
      </c>
      <c r="I4" s="349" cm="1">
        <f t="array" ref="I4">getScoreFactor(I$2,Itineraries!G4)</f>
        <v>75</v>
      </c>
      <c r="J4" s="587" cm="1">
        <f t="array" ref="J4">getScoreFactor(J$2,Itineraries!J4)</f>
        <v>20</v>
      </c>
      <c r="K4" s="587" cm="1">
        <f t="array" ref="K4">getScoreFactor(K$2,Itineraries!K4)</f>
        <v>40</v>
      </c>
      <c r="L4" s="588" cm="1">
        <f t="array" ref="L4">getScoreFactor(L$2,Itineraries!L4)</f>
        <v>300</v>
      </c>
      <c r="M4" s="259" cm="1">
        <f t="array" ref="M4">IF(INDEX(startingTA,numericItinerary($A4))=$M$2,getScoreFactor(M$2,"y"),getScoreFactor(M$2,"n"))</f>
        <v>0</v>
      </c>
      <c r="N4" s="575" cm="1">
        <f t="array" ref="N4">IF(INDEX(endingTA,numericItinerary($A4))=$N$2,getScoreFactor(N$2,"y"),getScoreFactor(N$2,"n"))</f>
        <v>0</v>
      </c>
      <c r="O4" s="1064" t="str" cm="1">
        <f t="array" ref="O4">IF(INDEX(baldyMountainHike,numericItinerary($A4))="","",getPeakScore(O$2))</f>
        <v/>
      </c>
      <c r="P4" s="725" t="str" cm="1">
        <f t="array" ref="P4">IF(INDEX(mountPhillipsHike,numericItinerary($A4))="","",getPeakScore(P$2))</f>
        <v/>
      </c>
      <c r="Q4" s="725" t="str" cm="1">
        <f t="array" ref="Q4">IF(INDEX(toothOfTimeHike,numericItinerary($A4))="","",getPeakScore(Q$2))</f>
        <v/>
      </c>
      <c r="R4" s="725" t="str" cm="1">
        <f t="array" ref="R4">IF(INDEX(inspirationPointHike,numericItinerary($A4))="","",getPeakScore(Q$2))</f>
        <v/>
      </c>
      <c r="S4" s="725" t="str" cm="1">
        <f t="array" ref="S4">IF(INDEX(trailPeakHike,numericItinerary($A4))="","",getPeakScore(S$2))</f>
        <v/>
      </c>
      <c r="T4" s="725" cm="1">
        <f t="array" ref="T4">IF(INDEX(mountaineeringHike,numericItinerary($A4))="","",getPeakScore(T$2))</f>
        <v>189</v>
      </c>
      <c r="U4" s="342" t="str" cm="1">
        <f t="array" ref="U4">IF(areaImportant&lt;&gt;"y","",IF(Itineraries!P4&lt;&gt;"Y","",getareascore(U$2)))</f>
        <v/>
      </c>
      <c r="V4" s="342" cm="1">
        <f t="array" ref="V4">IF(areaImportant&lt;&gt;"y","",IF(Itineraries!Q4&lt;&gt;"Y","",getareascore(V$2)))</f>
        <v>150</v>
      </c>
      <c r="W4" s="342" cm="1">
        <f t="array" ref="W4">IF(areaImportant&lt;&gt;"y","",IF(Itineraries!R4&lt;&gt;"Y","",getareascore(W$2)))</f>
        <v>1000</v>
      </c>
      <c r="X4" s="1065" t="str" cm="1">
        <f t="array" ref="X4">IF(areaImportant&lt;&gt;"y","",IF(Itineraries!S4&lt;&gt;"Y","",getareascore(X$2)))</f>
        <v/>
      </c>
      <c r="Y4" s="1058" t="str" cm="1">
        <f t="array" ref="Y4">IF(ItineraryPrograms!C4="y",getScoreFactor("Program",Y$2),"")</f>
        <v/>
      </c>
      <c r="Z4" s="343" t="str" cm="1">
        <f t="array" ref="Z4">IF(ItineraryPrograms!D4="y",getScoreFactor("Program",Z$2),"")</f>
        <v/>
      </c>
      <c r="AA4" s="343" t="str" cm="1">
        <f t="array" ref="AA4">IF(ItineraryPrograms!E4="y",getScoreFactor("Program",AA$2),"")</f>
        <v/>
      </c>
      <c r="AB4" s="343" t="str" cm="1">
        <f t="array" ref="AB4">IF(ItineraryPrograms!F4="y",getScoreFactor("Program",AB$2),"")</f>
        <v/>
      </c>
      <c r="AC4" s="343" t="str" cm="1">
        <f t="array" ref="AC4">IF(ItineraryPrograms!G4="y",getScoreFactor("Program",AC$2),"")</f>
        <v/>
      </c>
      <c r="AD4" s="343" t="str" cm="1">
        <f t="array" ref="AD4">IF(ItineraryPrograms!H4="y",getScoreFactor("Program",AD$2),"")</f>
        <v/>
      </c>
      <c r="AE4" s="343" t="str" cm="1">
        <f t="array" ref="AE4">IF(ItineraryPrograms!I4="y",getScoreFactor("Program",AE$2),"")</f>
        <v/>
      </c>
      <c r="AF4" s="343" t="str" cm="1">
        <f t="array" ref="AF4">IF(ItineraryPrograms!J4="y",getScoreFactor("Program",AF$2),"")</f>
        <v/>
      </c>
      <c r="AG4" s="343" t="str" cm="1">
        <f t="array" ref="AG4">IF(ItineraryPrograms!K4="y",getScoreFactor("Program",AG$2),"")</f>
        <v/>
      </c>
      <c r="AH4" s="343" t="str" cm="1">
        <f t="array" ref="AH4">IF(ItineraryPrograms!L4="y",getScoreFactor("Program",AH$2),"")</f>
        <v/>
      </c>
      <c r="AI4" s="343" cm="1">
        <f t="array" ref="AI4">IF(ItineraryPrograms!M4="y",getScoreFactor("Program",AI$2),"")</f>
        <v>109.5</v>
      </c>
      <c r="AJ4" s="343" cm="1">
        <f t="array" ref="AJ4">IF(ItineraryPrograms!N4="y",getScoreFactor("Program",AJ$2),"")</f>
        <v>109.5</v>
      </c>
      <c r="AK4" s="343" cm="1">
        <f t="array" ref="AK4">IF(ItineraryPrograms!O4="y",getScoreFactor("Program",AK$2),"")</f>
        <v>111</v>
      </c>
      <c r="AL4" s="343" t="str" cm="1">
        <f t="array" ref="AL4">IF(ItineraryPrograms!P4="y",getScoreFactor("Program",AL$2),"")</f>
        <v/>
      </c>
      <c r="AM4" s="343" t="str" cm="1">
        <f t="array" ref="AM4">IF(ItineraryPrograms!Q4="y",getScoreFactor("Program",AM$2),"")</f>
        <v/>
      </c>
      <c r="AN4" s="343" t="str" cm="1">
        <f t="array" ref="AN4">IF(ItineraryPrograms!R4="y",getScoreFactor("Program",AN$2),"")</f>
        <v/>
      </c>
      <c r="AO4" s="343" t="str" cm="1">
        <f t="array" ref="AO4">IF(ItineraryPrograms!S4="y",getScoreFactor("Program",AO$2),"")</f>
        <v/>
      </c>
      <c r="AP4" s="343" t="str" cm="1">
        <f t="array" ref="AP4">IF(ItineraryPrograms!T4="y",getScoreFactor("Program",AP$2),"")</f>
        <v/>
      </c>
      <c r="AQ4" s="343" t="str" cm="1">
        <f t="array" ref="AQ4">IF(ItineraryPrograms!U4="y",getScoreFactor("Program",AQ$2),"")</f>
        <v/>
      </c>
      <c r="AR4" s="343" t="str" cm="1">
        <f t="array" ref="AR4">IF(ItineraryPrograms!V4="y",getScoreFactor("Program",AR$2),"")</f>
        <v/>
      </c>
      <c r="AS4" s="343" t="str" cm="1">
        <f t="array" ref="AS4">IF(ItineraryPrograms!W4="y",getScoreFactor("Program",AS$2),"")</f>
        <v/>
      </c>
      <c r="AT4" s="343" t="str" cm="1">
        <f t="array" ref="AT4">IF(ItineraryPrograms!X4="y",getScoreFactor("Program",AT$2),"")</f>
        <v/>
      </c>
      <c r="AU4" s="343" t="str" cm="1">
        <f t="array" ref="AU4">IF(ItineraryPrograms!Y4="y",getScoreFactor("Program",AU$2),"")</f>
        <v/>
      </c>
      <c r="AV4" s="343" cm="1">
        <f t="array" ref="AV4">IF(ItineraryPrograms!Z4="y",getScoreFactor("Program",AV$2),"")</f>
        <v>162</v>
      </c>
      <c r="AW4" s="343" t="str" cm="1">
        <f t="array" ref="AW4">IF(ItineraryPrograms!AA4="y",getScoreFactor("Program",AW$2),"")</f>
        <v/>
      </c>
      <c r="AX4" s="343" t="str" cm="1">
        <f t="array" ref="AX4">IF(ItineraryPrograms!AB4="y",getScoreFactor("Program",AX$2),"")</f>
        <v/>
      </c>
      <c r="AY4" s="343" t="str" cm="1">
        <f t="array" ref="AY4">IF(ItineraryPrograms!AC4="y",getScoreFactor("Program",AY$2),"")</f>
        <v/>
      </c>
      <c r="AZ4" s="343" t="str" cm="1">
        <f t="array" ref="AZ4">IF(ItineraryPrograms!AD4="y",getScoreFactor("Program",AZ$2),"")</f>
        <v/>
      </c>
      <c r="BA4" s="343" t="str" cm="1">
        <f t="array" ref="BA4">IF(ItineraryPrograms!AE4="y",getScoreFactor("Program",BA$2),"")</f>
        <v/>
      </c>
      <c r="BB4" s="343" t="str" cm="1">
        <f t="array" ref="BB4">IF(ItineraryPrograms!AF4="y",getScoreFactor("Program",BB$2),"")</f>
        <v/>
      </c>
      <c r="BC4" s="343" t="str" cm="1">
        <f t="array" ref="BC4">IF(ItineraryPrograms!AG4="y",getScoreFactor("Program",BC$2),"")</f>
        <v/>
      </c>
      <c r="BD4" s="343" t="str" cm="1">
        <f t="array" ref="BD4">IF(ItineraryPrograms!AH4="y",getScoreFactor("Program",BD$2),"")</f>
        <v/>
      </c>
      <c r="BE4" s="343" t="str" cm="1">
        <f t="array" ref="BE4">IF(ItineraryPrograms!AI4="y",getScoreFactor("Program",BE$2),"")</f>
        <v/>
      </c>
      <c r="BF4" s="343" t="str" cm="1">
        <f t="array" ref="BF4">IF(ItineraryPrograms!AJ4="y",getScoreFactor("Program",BF$2),"")</f>
        <v/>
      </c>
      <c r="BG4" s="343" t="str" cm="1">
        <f t="array" ref="BG4">IF(ItineraryPrograms!AK4="y",getScoreFactor("Program",BG$2),"")</f>
        <v/>
      </c>
      <c r="BH4" s="343" t="str" cm="1">
        <f t="array" ref="BH4">IF(ItineraryPrograms!AL4="y",getScoreFactor("Program",BH$2),"")</f>
        <v/>
      </c>
      <c r="BI4" s="343" cm="1">
        <f t="array" ref="BI4">IF(ItineraryPrograms!AM4="y",getScoreFactor("Program",BI$2),"")</f>
        <v>235.5</v>
      </c>
      <c r="BJ4" s="343" t="str" cm="1">
        <f t="array" ref="BJ4">IF(ItineraryPrograms!AN4="y",getScoreFactor("Program",BJ$2),"")</f>
        <v/>
      </c>
      <c r="BK4" s="343" cm="1">
        <f t="array" ref="BK4">IF(ItineraryPrograms!AO4="y",getScoreFactor("Program",BK$2),"")</f>
        <v>181.5</v>
      </c>
      <c r="BL4" s="343" cm="1">
        <f t="array" ref="BL4">IF(ItineraryPrograms!AP4="y",getScoreFactor("Program",BL$2),"")</f>
        <v>220.5</v>
      </c>
      <c r="BM4" s="343" t="str" cm="1">
        <f t="array" ref="BM4">IF(ItineraryPrograms!AQ4="y",getScoreFactor("Program",BM$2),"")</f>
        <v/>
      </c>
      <c r="BN4" s="343" t="str" cm="1">
        <f t="array" ref="BN4">IF(ItineraryPrograms!AR4="y",getScoreFactor("Program",BN$2),"")</f>
        <v/>
      </c>
      <c r="BO4" s="343" cm="1">
        <f t="array" ref="BO4">IF(ItineraryPrograms!AS4="y",getScoreFactor("Program",BO$2),"")</f>
        <v>235.5</v>
      </c>
      <c r="BP4" s="343" cm="1">
        <f t="array" ref="BP4">IF(ItineraryPrograms!AT4="y",getScoreFactor("Program",BP$2),"")</f>
        <v>193.5</v>
      </c>
      <c r="BQ4" s="343" t="str" cm="1">
        <f t="array" ref="BQ4">IF(ItineraryPrograms!AU4="y",getScoreFactor("Program",BQ$2),"")</f>
        <v/>
      </c>
      <c r="BR4" s="343" t="str" cm="1">
        <f t="array" ref="BR4">IF(ItineraryPrograms!AV4="y",getScoreFactor("Program",BR$2),"")</f>
        <v/>
      </c>
      <c r="BS4" s="343" cm="1">
        <f t="array" ref="BS4">IF(ItineraryPrograms!AW4="y",getScoreFactor("Program",BS$2),"")</f>
        <v>202.5</v>
      </c>
      <c r="BT4" s="343" cm="1">
        <f t="array" ref="BT4">IF(ItineraryPrograms!AX4="y",getScoreFactor("Program",BT$2),"")</f>
        <v>207</v>
      </c>
      <c r="BU4" s="343" t="str" cm="1">
        <f t="array" ref="BU4">IF(ItineraryPrograms!AY4="y",getScoreFactor("Program",BU$2),"")</f>
        <v/>
      </c>
      <c r="BV4" s="343" t="str" cm="1">
        <f t="array" ref="BV4">IF(ItineraryPrograms!AZ4="y",getScoreFactor("Program",BV$2),"")</f>
        <v/>
      </c>
      <c r="BW4" s="343" t="str" cm="1">
        <f t="array" ref="BW4">IF(ItineraryPrograms!BA4="y",getScoreFactor("Program",BW$2),"")</f>
        <v/>
      </c>
      <c r="BX4" s="343" t="str" cm="1">
        <f t="array" ref="BX4">IF(ItineraryPrograms!BB4="y",getScoreFactor("Program",BX$2),"")</f>
        <v/>
      </c>
      <c r="BY4" s="343" cm="1">
        <f t="array" ref="BY4">IF(ItineraryPrograms!BC4="y",getScoreFactor("Program",BY$2),"")</f>
        <v>133.5</v>
      </c>
      <c r="BZ4" s="343" cm="1">
        <f t="array" ref="BZ4">IF(ItineraryPrograms!BD4="y",getScoreFactor("Program",BZ$2),"")</f>
        <v>285</v>
      </c>
      <c r="CA4" s="343" t="e" cm="1">
        <f t="array" ref="CA4">IF(ItineraryPrograms!BE4="y",getScoreFactor("Program",CA$2),"")</f>
        <v>#VALUE!</v>
      </c>
      <c r="CB4" s="984" t="str" cm="1">
        <f t="array" ref="CB4">IF(ItineraryPrograms!BF4="y",getScoreFactor("Program",CB$2),"")</f>
        <v/>
      </c>
    </row>
    <row r="5" spans="1:80" x14ac:dyDescent="0.2">
      <c r="A5" s="185" t="str">
        <f>Itineraries!A5</f>
        <v>9-3</v>
      </c>
      <c r="B5" s="365">
        <f t="shared" si="16"/>
        <v>9679.25</v>
      </c>
      <c r="C5" s="348" cm="1">
        <f t="array" ref="C5">getScoreFactor(C$2,itineraryCamps!C6)</f>
        <v>2500</v>
      </c>
      <c r="D5" s="341" cm="1">
        <f t="array" ref="D5">getScoreFactor(D$2,"Miles") *itineraryCamps!D6</f>
        <v>4100</v>
      </c>
      <c r="E5" s="580" cm="1">
        <f t="array" ref="E5">getScoreFactor(E$2,Itineraries!B5)</f>
        <v>20</v>
      </c>
      <c r="F5" s="580" cm="1">
        <f t="array" ref="F5">getScoreFactor(F$2,Itineraries!C5)</f>
        <v>60</v>
      </c>
      <c r="G5" s="349" cm="1">
        <f t="array" ref="G5">getScoreFactor(G$2,Itineraries!E5)</f>
        <v>25</v>
      </c>
      <c r="H5" s="349" cm="1">
        <f t="array" ref="H5">getScoreFactor(H$2,Itineraries!H5)</f>
        <v>200</v>
      </c>
      <c r="I5" s="349" cm="1">
        <f t="array" ref="I5">getScoreFactor(I$2,Itineraries!G5)</f>
        <v>75</v>
      </c>
      <c r="J5" s="587" cm="1">
        <f t="array" ref="J5">getScoreFactor(J$2,Itineraries!J5)</f>
        <v>70</v>
      </c>
      <c r="K5" s="587" cm="1">
        <f t="array" ref="K5">getScoreFactor(K$2,Itineraries!K5)</f>
        <v>80</v>
      </c>
      <c r="L5" s="588" cm="1">
        <f t="array" ref="L5">getScoreFactor(L$2,Itineraries!L5)</f>
        <v>0</v>
      </c>
      <c r="M5" s="259" cm="1">
        <f t="array" ref="M5">IF(INDEX(startingTA,numericItinerary($A5))=$M$2,getScoreFactor(M$2,"y"),getScoreFactor(M$2,"n"))</f>
        <v>0</v>
      </c>
      <c r="N5" s="575" cm="1">
        <f t="array" ref="N5">IF(INDEX(endingTA,numericItinerary($A5))=$N$2,getScoreFactor(N$2,"y"),getScoreFactor(N$2,"n"))</f>
        <v>0</v>
      </c>
      <c r="O5" s="1064" t="str" cm="1">
        <f t="array" ref="O5">IF(INDEX(baldyMountainHike,numericItinerary($A5))="","",getPeakScore(O$2))</f>
        <v/>
      </c>
      <c r="P5" s="725" t="str" cm="1">
        <f t="array" ref="P5">IF(INDEX(mountPhillipsHike,numericItinerary($A5))="","",getPeakScore(P$2))</f>
        <v/>
      </c>
      <c r="Q5" s="725" cm="1">
        <f t="array" ref="Q5">IF(INDEX(toothOfTimeHike,numericItinerary($A5))="","",getPeakScore(Q$2))</f>
        <v>303.75</v>
      </c>
      <c r="R5" s="725" t="str" cm="1">
        <f t="array" ref="R5">IF(INDEX(inspirationPointHike,numericItinerary($A5))="","",getPeakScore(Q$2))</f>
        <v/>
      </c>
      <c r="S5" s="725" t="str" cm="1">
        <f t="array" ref="S5">IF(INDEX(trailPeakHike,numericItinerary($A5))="","",getPeakScore(S$2))</f>
        <v/>
      </c>
      <c r="T5" s="725" cm="1">
        <f t="array" ref="T5">IF(INDEX(mountaineeringHike,numericItinerary($A5))="","",getPeakScore(T$2))</f>
        <v>189</v>
      </c>
      <c r="U5" s="342" t="str" cm="1">
        <f t="array" ref="U5">IF(areaImportant&lt;&gt;"y","",IF(Itineraries!P5&lt;&gt;"Y","",getareascore(U$2)))</f>
        <v/>
      </c>
      <c r="V5" s="342" cm="1">
        <f t="array" ref="V5">IF(areaImportant&lt;&gt;"y","",IF(Itineraries!Q5&lt;&gt;"Y","",getareascore(V$2)))</f>
        <v>150</v>
      </c>
      <c r="W5" s="342" t="str" cm="1">
        <f t="array" ref="W5">IF(areaImportant&lt;&gt;"y","",IF(Itineraries!R5&lt;&gt;"Y","",getareascore(W$2)))</f>
        <v/>
      </c>
      <c r="X5" s="1065" t="str" cm="1">
        <f t="array" ref="X5">IF(areaImportant&lt;&gt;"y","",IF(Itineraries!S5&lt;&gt;"Y","",getareascore(X$2)))</f>
        <v/>
      </c>
      <c r="Y5" s="1058" cm="1">
        <f t="array" ref="Y5">IF(ItineraryPrograms!C5="y",getScoreFactor("Program",Y$2),"")</f>
        <v>228</v>
      </c>
      <c r="Z5" s="343" t="str" cm="1">
        <f t="array" ref="Z5">IF(ItineraryPrograms!D5="y",getScoreFactor("Program",Z$2),"")</f>
        <v/>
      </c>
      <c r="AA5" s="343" t="str" cm="1">
        <f t="array" ref="AA5">IF(ItineraryPrograms!E5="y",getScoreFactor("Program",AA$2),"")</f>
        <v/>
      </c>
      <c r="AB5" s="343" t="str" cm="1">
        <f t="array" ref="AB5">IF(ItineraryPrograms!F5="y",getScoreFactor("Program",AB$2),"")</f>
        <v/>
      </c>
      <c r="AC5" s="343" t="str" cm="1">
        <f t="array" ref="AC5">IF(ItineraryPrograms!G5="y",getScoreFactor("Program",AC$2),"")</f>
        <v/>
      </c>
      <c r="AD5" s="343" t="str" cm="1">
        <f t="array" ref="AD5">IF(ItineraryPrograms!H5="y",getScoreFactor("Program",AD$2),"")</f>
        <v/>
      </c>
      <c r="AE5" s="343" t="str" cm="1">
        <f t="array" ref="AE5">IF(ItineraryPrograms!I5="y",getScoreFactor("Program",AE$2),"")</f>
        <v/>
      </c>
      <c r="AF5" s="343" cm="1">
        <f t="array" ref="AF5">IF(ItineraryPrograms!J5="y",getScoreFactor("Program",AF$2),"")</f>
        <v>126</v>
      </c>
      <c r="AG5" s="343" t="str" cm="1">
        <f t="array" ref="AG5">IF(ItineraryPrograms!K5="y",getScoreFactor("Program",AG$2),"")</f>
        <v/>
      </c>
      <c r="AH5" s="343" t="str" cm="1">
        <f t="array" ref="AH5">IF(ItineraryPrograms!L5="y",getScoreFactor("Program",AH$2),"")</f>
        <v/>
      </c>
      <c r="AI5" s="343" cm="1">
        <f t="array" ref="AI5">IF(ItineraryPrograms!M5="y",getScoreFactor("Program",AI$2),"")</f>
        <v>109.5</v>
      </c>
      <c r="AJ5" s="343" cm="1">
        <f t="array" ref="AJ5">IF(ItineraryPrograms!N5="y",getScoreFactor("Program",AJ$2),"")</f>
        <v>109.5</v>
      </c>
      <c r="AK5" s="343" cm="1">
        <f t="array" ref="AK5">IF(ItineraryPrograms!O5="y",getScoreFactor("Program",AK$2),"")</f>
        <v>111</v>
      </c>
      <c r="AL5" s="343" t="str" cm="1">
        <f t="array" ref="AL5">IF(ItineraryPrograms!P5="y",getScoreFactor("Program",AL$2),"")</f>
        <v/>
      </c>
      <c r="AM5" s="343" t="str" cm="1">
        <f t="array" ref="AM5">IF(ItineraryPrograms!Q5="y",getScoreFactor("Program",AM$2),"")</f>
        <v/>
      </c>
      <c r="AN5" s="343" t="str" cm="1">
        <f t="array" ref="AN5">IF(ItineraryPrograms!R5="y",getScoreFactor("Program",AN$2),"")</f>
        <v/>
      </c>
      <c r="AO5" s="343" t="str" cm="1">
        <f t="array" ref="AO5">IF(ItineraryPrograms!S5="y",getScoreFactor("Program",AO$2),"")</f>
        <v/>
      </c>
      <c r="AP5" s="343" t="str" cm="1">
        <f t="array" ref="AP5">IF(ItineraryPrograms!T5="y",getScoreFactor("Program",AP$2),"")</f>
        <v/>
      </c>
      <c r="AQ5" s="343" t="str" cm="1">
        <f t="array" ref="AQ5">IF(ItineraryPrograms!U5="y",getScoreFactor("Program",AQ$2),"")</f>
        <v/>
      </c>
      <c r="AR5" s="343" t="str" cm="1">
        <f t="array" ref="AR5">IF(ItineraryPrograms!V5="y",getScoreFactor("Program",AR$2),"")</f>
        <v/>
      </c>
      <c r="AS5" s="343" t="str" cm="1">
        <f t="array" ref="AS5">IF(ItineraryPrograms!W5="y",getScoreFactor("Program",AS$2),"")</f>
        <v/>
      </c>
      <c r="AT5" s="343" cm="1">
        <f t="array" ref="AT5">IF(ItineraryPrograms!X5="y",getScoreFactor("Program",AT$2),"")</f>
        <v>129</v>
      </c>
      <c r="AU5" s="343" t="str" cm="1">
        <f t="array" ref="AU5">IF(ItineraryPrograms!Y5="y",getScoreFactor("Program",AU$2),"")</f>
        <v/>
      </c>
      <c r="AV5" s="343" t="str" cm="1">
        <f t="array" ref="AV5">IF(ItineraryPrograms!Z5="y",getScoreFactor("Program",AV$2),"")</f>
        <v/>
      </c>
      <c r="AW5" s="343" t="str" cm="1">
        <f t="array" ref="AW5">IF(ItineraryPrograms!AA5="y",getScoreFactor("Program",AW$2),"")</f>
        <v/>
      </c>
      <c r="AX5" s="343" t="str" cm="1">
        <f t="array" ref="AX5">IF(ItineraryPrograms!AB5="y",getScoreFactor("Program",AX$2),"")</f>
        <v/>
      </c>
      <c r="AY5" s="343" t="str" cm="1">
        <f t="array" ref="AY5">IF(ItineraryPrograms!AC5="y",getScoreFactor("Program",AY$2),"")</f>
        <v/>
      </c>
      <c r="AZ5" s="343" t="str" cm="1">
        <f t="array" ref="AZ5">IF(ItineraryPrograms!AD5="y",getScoreFactor("Program",AZ$2),"")</f>
        <v/>
      </c>
      <c r="BA5" s="343" t="str" cm="1">
        <f t="array" ref="BA5">IF(ItineraryPrograms!AE5="y",getScoreFactor("Program",BA$2),"")</f>
        <v/>
      </c>
      <c r="BB5" s="343" t="str" cm="1">
        <f t="array" ref="BB5">IF(ItineraryPrograms!AF5="y",getScoreFactor("Program",BB$2),"")</f>
        <v/>
      </c>
      <c r="BC5" s="343" t="str" cm="1">
        <f t="array" ref="BC5">IF(ItineraryPrograms!AG5="y",getScoreFactor("Program",BC$2),"")</f>
        <v/>
      </c>
      <c r="BD5" s="343" cm="1">
        <f t="array" ref="BD5">IF(ItineraryPrograms!AH5="y",getScoreFactor("Program",BD$2),"")</f>
        <v>91.5</v>
      </c>
      <c r="BE5" s="343" t="str" cm="1">
        <f t="array" ref="BE5">IF(ItineraryPrograms!AI5="y",getScoreFactor("Program",BE$2),"")</f>
        <v/>
      </c>
      <c r="BF5" s="343" t="str" cm="1">
        <f t="array" ref="BF5">IF(ItineraryPrograms!AJ5="y",getScoreFactor("Program",BF$2),"")</f>
        <v/>
      </c>
      <c r="BG5" s="343" t="str" cm="1">
        <f t="array" ref="BG5">IF(ItineraryPrograms!AK5="y",getScoreFactor("Program",BG$2),"")</f>
        <v/>
      </c>
      <c r="BH5" s="343" t="str" cm="1">
        <f t="array" ref="BH5">IF(ItineraryPrograms!AL5="y",getScoreFactor("Program",BH$2),"")</f>
        <v/>
      </c>
      <c r="BI5" s="343" cm="1">
        <f t="array" ref="BI5">IF(ItineraryPrograms!AM5="y",getScoreFactor("Program",BI$2),"")</f>
        <v>235.5</v>
      </c>
      <c r="BJ5" s="343" t="str" cm="1">
        <f t="array" ref="BJ5">IF(ItineraryPrograms!AN5="y",getScoreFactor("Program",BJ$2),"")</f>
        <v/>
      </c>
      <c r="BK5" s="343" cm="1">
        <f t="array" ref="BK5">IF(ItineraryPrograms!AO5="y",getScoreFactor("Program",BK$2),"")</f>
        <v>181.5</v>
      </c>
      <c r="BL5" s="343" t="str" cm="1">
        <f t="array" ref="BL5">IF(ItineraryPrograms!AP5="y",getScoreFactor("Program",BL$2),"")</f>
        <v/>
      </c>
      <c r="BM5" s="343" t="str" cm="1">
        <f t="array" ref="BM5">IF(ItineraryPrograms!AQ5="y",getScoreFactor("Program",BM$2),"")</f>
        <v/>
      </c>
      <c r="BN5" s="343" cm="1">
        <f t="array" ref="BN5">IF(ItineraryPrograms!AR5="y",getScoreFactor("Program",BN$2),"")</f>
        <v>255</v>
      </c>
      <c r="BO5" s="343" t="str" cm="1">
        <f t="array" ref="BO5">IF(ItineraryPrograms!AS5="y",getScoreFactor("Program",BO$2),"")</f>
        <v/>
      </c>
      <c r="BP5" s="343" cm="1">
        <f t="array" ref="BP5">IF(ItineraryPrograms!AT5="y",getScoreFactor("Program",BP$2),"")</f>
        <v>193.5</v>
      </c>
      <c r="BQ5" s="343" t="str" cm="1">
        <f t="array" ref="BQ5">IF(ItineraryPrograms!AU5="y",getScoreFactor("Program",BQ$2),"")</f>
        <v/>
      </c>
      <c r="BR5" s="343" cm="1">
        <f t="array" ref="BR5">IF(ItineraryPrograms!AV5="y",getScoreFactor("Program",BR$2),"")</f>
        <v>136.5</v>
      </c>
      <c r="BS5" s="343" t="str" cm="1">
        <f t="array" ref="BS5">IF(ItineraryPrograms!AW5="y",getScoreFactor("Program",BS$2),"")</f>
        <v/>
      </c>
      <c r="BT5" s="343" t="str" cm="1">
        <f t="array" ref="BT5">IF(ItineraryPrograms!AX5="y",getScoreFactor("Program",BT$2),"")</f>
        <v/>
      </c>
      <c r="BU5" s="343" t="str" cm="1">
        <f t="array" ref="BU5">IF(ItineraryPrograms!AY5="y",getScoreFactor("Program",BU$2),"")</f>
        <v/>
      </c>
      <c r="BV5" s="343" t="str" cm="1">
        <f t="array" ref="BV5">IF(ItineraryPrograms!AZ5="y",getScoreFactor("Program",BV$2),"")</f>
        <v/>
      </c>
      <c r="BW5" s="343" t="str" cm="1">
        <f t="array" ref="BW5">IF(ItineraryPrograms!BA5="y",getScoreFactor("Program",BW$2),"")</f>
        <v/>
      </c>
      <c r="BX5" s="343" cm="1">
        <f t="array" ref="BX5">IF(ItineraryPrograms!BB5="y",getScoreFactor("Program",BX$2),"")</f>
        <v>235.5</v>
      </c>
      <c r="BY5" s="343" cm="1">
        <f t="array" ref="BY5">IF(ItineraryPrograms!BC5="y",getScoreFactor("Program",BY$2),"")</f>
        <v>133.5</v>
      </c>
      <c r="BZ5" s="343" t="str" cm="1">
        <f t="array" ref="BZ5">IF(ItineraryPrograms!BD5="y",getScoreFactor("Program",BZ$2),"")</f>
        <v/>
      </c>
      <c r="CA5" s="343" t="e" cm="1">
        <f t="array" ref="CA5">IF(ItineraryPrograms!BE5="y",getScoreFactor("Program",CA$2),"")</f>
        <v>#VALUE!</v>
      </c>
      <c r="CB5" s="984" t="str" cm="1">
        <f t="array" ref="CB5">IF(ItineraryPrograms!BF5="y",getScoreFactor("Program",CB$2),"")</f>
        <v/>
      </c>
    </row>
    <row r="6" spans="1:80" x14ac:dyDescent="0.2">
      <c r="A6" s="185" t="str">
        <f>Itineraries!A6</f>
        <v>9-4</v>
      </c>
      <c r="B6" s="365">
        <f t="shared" si="16"/>
        <v>11543.416666666666</v>
      </c>
      <c r="C6" s="348" cm="1">
        <f t="array" ref="C6">getScoreFactor(C$2,itineraryCamps!C7)</f>
        <v>2666.6666666666665</v>
      </c>
      <c r="D6" s="341" cm="1">
        <f t="array" ref="D6">getScoreFactor(D$2,"Miles") *itineraryCamps!D7</f>
        <v>4200</v>
      </c>
      <c r="E6" s="580" cm="1">
        <f t="array" ref="E6">getScoreFactor(E$2,Itineraries!B6)</f>
        <v>40</v>
      </c>
      <c r="F6" s="580" cm="1">
        <f t="array" ref="F6">getScoreFactor(F$2,Itineraries!C6)</f>
        <v>80</v>
      </c>
      <c r="G6" s="349" cm="1">
        <f t="array" ref="G6">getScoreFactor(G$2,Itineraries!E6)</f>
        <v>75</v>
      </c>
      <c r="H6" s="349" cm="1">
        <f t="array" ref="H6">getScoreFactor(H$2,Itineraries!H6)</f>
        <v>250</v>
      </c>
      <c r="I6" s="349" cm="1">
        <f t="array" ref="I6">getScoreFactor(I$2,Itineraries!G6)</f>
        <v>75</v>
      </c>
      <c r="J6" s="587" cm="1">
        <f t="array" ref="J6">getScoreFactor(J$2,Itineraries!J6)</f>
        <v>70</v>
      </c>
      <c r="K6" s="587" cm="1">
        <f t="array" ref="K6">getScoreFactor(K$2,Itineraries!K6)</f>
        <v>80</v>
      </c>
      <c r="L6" s="588" cm="1">
        <f t="array" ref="L6">getScoreFactor(L$2,Itineraries!L6)</f>
        <v>300</v>
      </c>
      <c r="M6" s="259" cm="1">
        <f t="array" ref="M6">IF(INDEX(startingTA,numericItinerary($A6))=$M$2,getScoreFactor(M$2,"y"),getScoreFactor(M$2,"n"))</f>
        <v>0</v>
      </c>
      <c r="N6" s="575" cm="1">
        <f t="array" ref="N6">IF(INDEX(endingTA,numericItinerary($A6))=$N$2,getScoreFactor(N$2,"y"),getScoreFactor(N$2,"n"))</f>
        <v>500</v>
      </c>
      <c r="O6" s="1064" t="str" cm="1">
        <f t="array" ref="O6">IF(INDEX(baldyMountainHike,numericItinerary($A6))="","",getPeakScore(O$2))</f>
        <v/>
      </c>
      <c r="P6" s="725" t="str" cm="1">
        <f t="array" ref="P6">IF(INDEX(mountPhillipsHike,numericItinerary($A6))="","",getPeakScore(P$2))</f>
        <v/>
      </c>
      <c r="Q6" s="725" cm="1">
        <f t="array" ref="Q6">IF(INDEX(toothOfTimeHike,numericItinerary($A6))="","",getPeakScore(Q$2))</f>
        <v>303.75</v>
      </c>
      <c r="R6" s="725" t="str" cm="1">
        <f t="array" ref="R6">IF(INDEX(inspirationPointHike,numericItinerary($A6))="","",getPeakScore(Q$2))</f>
        <v/>
      </c>
      <c r="S6" s="725" cm="1">
        <f t="array" ref="S6">IF(INDEX(trailPeakHike,numericItinerary($A6))="","",getPeakScore(S$2))</f>
        <v>91.5</v>
      </c>
      <c r="T6" s="725" cm="1">
        <f t="array" ref="T6">IF(INDEX(mountaineeringHike,numericItinerary($A6))="","",getPeakScore(T$2))</f>
        <v>189</v>
      </c>
      <c r="U6" s="342" cm="1">
        <f t="array" ref="U6">IF(areaImportant&lt;&gt;"y","",IF(Itineraries!P6&lt;&gt;"Y","",getareascore(U$2)))</f>
        <v>200</v>
      </c>
      <c r="V6" s="342" cm="1">
        <f t="array" ref="V6">IF(areaImportant&lt;&gt;"y","",IF(Itineraries!Q6&lt;&gt;"Y","",getareascore(V$2)))</f>
        <v>150</v>
      </c>
      <c r="W6" s="342" t="str" cm="1">
        <f t="array" ref="W6">IF(areaImportant&lt;&gt;"y","",IF(Itineraries!R6&lt;&gt;"Y","",getareascore(W$2)))</f>
        <v/>
      </c>
      <c r="X6" s="1065" t="str" cm="1">
        <f t="array" ref="X6">IF(areaImportant&lt;&gt;"y","",IF(Itineraries!S6&lt;&gt;"Y","",getareascore(X$2)))</f>
        <v/>
      </c>
      <c r="Y6" s="1058" t="str" cm="1">
        <f t="array" ref="Y6">IF(ItineraryPrograms!C6="y",getScoreFactor("Program",Y$2),"")</f>
        <v/>
      </c>
      <c r="Z6" s="343" t="str" cm="1">
        <f t="array" ref="Z6">IF(ItineraryPrograms!D6="y",getScoreFactor("Program",Z$2),"")</f>
        <v/>
      </c>
      <c r="AA6" s="343" t="str" cm="1">
        <f t="array" ref="AA6">IF(ItineraryPrograms!E6="y",getScoreFactor("Program",AA$2),"")</f>
        <v/>
      </c>
      <c r="AB6" s="343" t="str" cm="1">
        <f t="array" ref="AB6">IF(ItineraryPrograms!F6="y",getScoreFactor("Program",AB$2),"")</f>
        <v/>
      </c>
      <c r="AC6" s="343" t="str" cm="1">
        <f t="array" ref="AC6">IF(ItineraryPrograms!G6="y",getScoreFactor("Program",AC$2),"")</f>
        <v/>
      </c>
      <c r="AD6" s="343" t="str" cm="1">
        <f t="array" ref="AD6">IF(ItineraryPrograms!H6="y",getScoreFactor("Program",AD$2),"")</f>
        <v/>
      </c>
      <c r="AE6" s="343" t="str" cm="1">
        <f t="array" ref="AE6">IF(ItineraryPrograms!I6="y",getScoreFactor("Program",AE$2),"")</f>
        <v/>
      </c>
      <c r="AF6" s="343" t="str" cm="1">
        <f t="array" ref="AF6">IF(ItineraryPrograms!J6="y",getScoreFactor("Program",AF$2),"")</f>
        <v/>
      </c>
      <c r="AG6" s="343" cm="1">
        <f t="array" ref="AG6">IF(ItineraryPrograms!K6="y",getScoreFactor("Program",AG$2),"")</f>
        <v>130.5</v>
      </c>
      <c r="AH6" s="343" t="str" cm="1">
        <f t="array" ref="AH6">IF(ItineraryPrograms!L6="y",getScoreFactor("Program",AH$2),"")</f>
        <v/>
      </c>
      <c r="AI6" s="343" cm="1">
        <f t="array" ref="AI6">IF(ItineraryPrograms!M6="y",getScoreFactor("Program",AI$2),"")</f>
        <v>109.5</v>
      </c>
      <c r="AJ6" s="343" cm="1">
        <f t="array" ref="AJ6">IF(ItineraryPrograms!N6="y",getScoreFactor("Program",AJ$2),"")</f>
        <v>109.5</v>
      </c>
      <c r="AK6" s="343" cm="1">
        <f t="array" ref="AK6">IF(ItineraryPrograms!O6="y",getScoreFactor("Program",AK$2),"")</f>
        <v>111</v>
      </c>
      <c r="AL6" s="343" cm="1">
        <f t="array" ref="AL6">IF(ItineraryPrograms!P6="y",getScoreFactor("Program",AL$2),"")</f>
        <v>114</v>
      </c>
      <c r="AM6" s="343" cm="1">
        <f t="array" ref="AM6">IF(ItineraryPrograms!Q6="y",getScoreFactor("Program",AM$2),"")</f>
        <v>123</v>
      </c>
      <c r="AN6" s="343" cm="1">
        <f t="array" ref="AN6">IF(ItineraryPrograms!R6="y",getScoreFactor("Program",AN$2),"")</f>
        <v>126</v>
      </c>
      <c r="AO6" s="343" cm="1">
        <f t="array" ref="AO6">IF(ItineraryPrograms!S6="y",getScoreFactor("Program",AO$2),"")</f>
        <v>106.5</v>
      </c>
      <c r="AP6" s="343" cm="1">
        <f t="array" ref="AP6">IF(ItineraryPrograms!T6="y",getScoreFactor("Program",AP$2),"")</f>
        <v>145.5</v>
      </c>
      <c r="AQ6" s="343" cm="1">
        <f t="array" ref="AQ6">IF(ItineraryPrograms!U6="y",getScoreFactor("Program",AQ$2),"")</f>
        <v>93</v>
      </c>
      <c r="AR6" s="343" t="str" cm="1">
        <f t="array" ref="AR6">IF(ItineraryPrograms!V6="y",getScoreFactor("Program",AR$2),"")</f>
        <v/>
      </c>
      <c r="AS6" s="343" t="str" cm="1">
        <f t="array" ref="AS6">IF(ItineraryPrograms!W6="y",getScoreFactor("Program",AS$2),"")</f>
        <v/>
      </c>
      <c r="AT6" s="343" t="str" cm="1">
        <f t="array" ref="AT6">IF(ItineraryPrograms!X6="y",getScoreFactor("Program",AT$2),"")</f>
        <v/>
      </c>
      <c r="AU6" s="343" t="str" cm="1">
        <f t="array" ref="AU6">IF(ItineraryPrograms!Y6="y",getScoreFactor("Program",AU$2),"")</f>
        <v/>
      </c>
      <c r="AV6" s="343" t="str" cm="1">
        <f t="array" ref="AV6">IF(ItineraryPrograms!Z6="y",getScoreFactor("Program",AV$2),"")</f>
        <v/>
      </c>
      <c r="AW6" s="343" t="str" cm="1">
        <f t="array" ref="AW6">IF(ItineraryPrograms!AA6="y",getScoreFactor("Program",AW$2),"")</f>
        <v/>
      </c>
      <c r="AX6" s="343" t="str" cm="1">
        <f t="array" ref="AX6">IF(ItineraryPrograms!AB6="y",getScoreFactor("Program",AX$2),"")</f>
        <v/>
      </c>
      <c r="AY6" s="343" cm="1">
        <f t="array" ref="AY6">IF(ItineraryPrograms!AC6="y",getScoreFactor("Program",AY$2),"")</f>
        <v>150</v>
      </c>
      <c r="AZ6" s="343" t="str" cm="1">
        <f t="array" ref="AZ6">IF(ItineraryPrograms!AD6="y",getScoreFactor("Program",AZ$2),"")</f>
        <v/>
      </c>
      <c r="BA6" s="343" t="str" cm="1">
        <f t="array" ref="BA6">IF(ItineraryPrograms!AE6="y",getScoreFactor("Program",BA$2),"")</f>
        <v/>
      </c>
      <c r="BB6" s="343" t="str" cm="1">
        <f t="array" ref="BB6">IF(ItineraryPrograms!AF6="y",getScoreFactor("Program",BB$2),"")</f>
        <v/>
      </c>
      <c r="BC6" s="343" t="str" cm="1">
        <f t="array" ref="BC6">IF(ItineraryPrograms!AG6="y",getScoreFactor("Program",BC$2),"")</f>
        <v/>
      </c>
      <c r="BD6" s="343" cm="1">
        <f t="array" ref="BD6">IF(ItineraryPrograms!AH6="y",getScoreFactor("Program",BD$2),"")</f>
        <v>91.5</v>
      </c>
      <c r="BE6" s="343" t="str" cm="1">
        <f t="array" ref="BE6">IF(ItineraryPrograms!AI6="y",getScoreFactor("Program",BE$2),"")</f>
        <v/>
      </c>
      <c r="BF6" s="343" cm="1">
        <f t="array" ref="BF6">IF(ItineraryPrograms!AJ6="y",getScoreFactor("Program",BF$2),"")</f>
        <v>220.5</v>
      </c>
      <c r="BG6" s="343" t="str" cm="1">
        <f t="array" ref="BG6">IF(ItineraryPrograms!AK6="y",getScoreFactor("Program",BG$2),"")</f>
        <v/>
      </c>
      <c r="BH6" s="343" cm="1">
        <f t="array" ref="BH6">IF(ItineraryPrograms!AL6="y",getScoreFactor("Program",BH$2),"")</f>
        <v>255</v>
      </c>
      <c r="BI6" s="343" cm="1">
        <f t="array" ref="BI6">IF(ItineraryPrograms!AM6="y",getScoreFactor("Program",BI$2),"")</f>
        <v>235.5</v>
      </c>
      <c r="BJ6" s="343" t="str" cm="1">
        <f t="array" ref="BJ6">IF(ItineraryPrograms!AN6="y",getScoreFactor("Program",BJ$2),"")</f>
        <v/>
      </c>
      <c r="BK6" s="343" t="str" cm="1">
        <f t="array" ref="BK6">IF(ItineraryPrograms!AO6="y",getScoreFactor("Program",BK$2),"")</f>
        <v/>
      </c>
      <c r="BL6" s="343" t="str" cm="1">
        <f t="array" ref="BL6">IF(ItineraryPrograms!AP6="y",getScoreFactor("Program",BL$2),"")</f>
        <v/>
      </c>
      <c r="BM6" s="343" t="str" cm="1">
        <f t="array" ref="BM6">IF(ItineraryPrograms!AQ6="y",getScoreFactor("Program",BM$2),"")</f>
        <v/>
      </c>
      <c r="BN6" s="343" t="str" cm="1">
        <f t="array" ref="BN6">IF(ItineraryPrograms!AR6="y",getScoreFactor("Program",BN$2),"")</f>
        <v/>
      </c>
      <c r="BO6" s="343" t="str" cm="1">
        <f t="array" ref="BO6">IF(ItineraryPrograms!AS6="y",getScoreFactor("Program",BO$2),"")</f>
        <v/>
      </c>
      <c r="BP6" s="343" t="str" cm="1">
        <f t="array" ref="BP6">IF(ItineraryPrograms!AT6="y",getScoreFactor("Program",BP$2),"")</f>
        <v/>
      </c>
      <c r="BQ6" s="343" cm="1">
        <f t="array" ref="BQ6">IF(ItineraryPrograms!AU6="y",getScoreFactor("Program",BQ$2),"")</f>
        <v>151.5</v>
      </c>
      <c r="BR6" s="343" t="str" cm="1">
        <f t="array" ref="BR6">IF(ItineraryPrograms!AV6="y",getScoreFactor("Program",BR$2),"")</f>
        <v/>
      </c>
      <c r="BS6" s="343" t="str" cm="1">
        <f t="array" ref="BS6">IF(ItineraryPrograms!AW6="y",getScoreFactor("Program",BS$2),"")</f>
        <v/>
      </c>
      <c r="BT6" s="343" t="str" cm="1">
        <f t="array" ref="BT6">IF(ItineraryPrograms!AX6="y",getScoreFactor("Program",BT$2),"")</f>
        <v/>
      </c>
      <c r="BU6" s="343" t="str" cm="1">
        <f t="array" ref="BU6">IF(ItineraryPrograms!AY6="y",getScoreFactor("Program",BU$2),"")</f>
        <v/>
      </c>
      <c r="BV6" s="343" t="str" cm="1">
        <f t="array" ref="BV6">IF(ItineraryPrograms!AZ6="y",getScoreFactor("Program",BV$2),"")</f>
        <v/>
      </c>
      <c r="BW6" s="343" t="str" cm="1">
        <f t="array" ref="BW6">IF(ItineraryPrograms!BA6="y",getScoreFactor("Program",BW$2),"")</f>
        <v/>
      </c>
      <c r="BX6" s="343" t="str" cm="1">
        <f t="array" ref="BX6">IF(ItineraryPrograms!BB6="y",getScoreFactor("Program",BX$2),"")</f>
        <v/>
      </c>
      <c r="BY6" s="343" cm="1">
        <f t="array" ref="BY6">IF(ItineraryPrograms!BC6="y",getScoreFactor("Program",BY$2),"")</f>
        <v>133.5</v>
      </c>
      <c r="BZ6" s="343" cm="1">
        <f t="array" ref="BZ6">IF(ItineraryPrograms!BD6="y",getScoreFactor("Program",BZ$2),"")</f>
        <v>285</v>
      </c>
      <c r="CA6" s="343" t="e" cm="1">
        <f t="array" ref="CA6">IF(ItineraryPrograms!BE6="y",getScoreFactor("Program",CA$2),"")</f>
        <v>#VALUE!</v>
      </c>
      <c r="CB6" s="984" t="str" cm="1">
        <f t="array" ref="CB6">IF(ItineraryPrograms!BF6="y",getScoreFactor("Program",CB$2),"")</f>
        <v/>
      </c>
    </row>
    <row r="7" spans="1:80" x14ac:dyDescent="0.2">
      <c r="A7" s="185" t="str">
        <f>Itineraries!A7</f>
        <v>9-5</v>
      </c>
      <c r="B7" s="365">
        <f t="shared" si="16"/>
        <v>10674.166666666666</v>
      </c>
      <c r="C7" s="348" cm="1">
        <f t="array" ref="C7">getScoreFactor(C$2,itineraryCamps!C8)</f>
        <v>2666.6666666666665</v>
      </c>
      <c r="D7" s="341" cm="1">
        <f t="array" ref="D7">getScoreFactor(D$2,"Miles") *itineraryCamps!D8</f>
        <v>3600</v>
      </c>
      <c r="E7" s="580" cm="1">
        <f t="array" ref="E7">getScoreFactor(E$2,Itineraries!B7)</f>
        <v>30</v>
      </c>
      <c r="F7" s="580" cm="1">
        <f t="array" ref="F7">getScoreFactor(F$2,Itineraries!C7)</f>
        <v>90</v>
      </c>
      <c r="G7" s="349" cm="1">
        <f t="array" ref="G7">getScoreFactor(G$2,Itineraries!E7)</f>
        <v>25</v>
      </c>
      <c r="H7" s="349" cm="1">
        <f t="array" ref="H7">getScoreFactor(H$2,Itineraries!H7)</f>
        <v>225</v>
      </c>
      <c r="I7" s="349" cm="1">
        <f t="array" ref="I7">getScoreFactor(I$2,Itineraries!G7)</f>
        <v>100</v>
      </c>
      <c r="J7" s="587" cm="1">
        <f t="array" ref="J7">getScoreFactor(J$2,Itineraries!J7)</f>
        <v>90</v>
      </c>
      <c r="K7" s="587" cm="1">
        <f t="array" ref="K7">getScoreFactor(K$2,Itineraries!K7)</f>
        <v>90</v>
      </c>
      <c r="L7" s="588" cm="1">
        <f t="array" ref="L7">getScoreFactor(L$2,Itineraries!L7)</f>
        <v>200</v>
      </c>
      <c r="M7" s="259" cm="1">
        <f t="array" ref="M7">IF(INDEX(startingTA,numericItinerary($A7))=$M$2,getScoreFactor(M$2,"y"),getScoreFactor(M$2,"n"))</f>
        <v>0</v>
      </c>
      <c r="N7" s="575" cm="1">
        <f t="array" ref="N7">IF(INDEX(endingTA,numericItinerary($A7))=$N$2,getScoreFactor(N$2,"y"),getScoreFactor(N$2,"n"))</f>
        <v>0</v>
      </c>
      <c r="O7" s="1064" cm="1">
        <f t="array" ref="O7">IF(INDEX(baldyMountainHike,numericItinerary($A7))="","",getPeakScore(O$2))</f>
        <v>300</v>
      </c>
      <c r="P7" s="725" t="str" cm="1">
        <f t="array" ref="P7">IF(INDEX(mountPhillipsHike,numericItinerary($A7))="","",getPeakScore(P$2))</f>
        <v/>
      </c>
      <c r="Q7" s="725" t="str" cm="1">
        <f t="array" ref="Q7">IF(INDEX(toothOfTimeHike,numericItinerary($A7))="","",getPeakScore(Q$2))</f>
        <v/>
      </c>
      <c r="R7" s="725" t="str" cm="1">
        <f t="array" ref="R7">IF(INDEX(inspirationPointHike,numericItinerary($A7))="","",getPeakScore(Q$2))</f>
        <v/>
      </c>
      <c r="S7" s="725" t="str" cm="1">
        <f t="array" ref="S7">IF(INDEX(trailPeakHike,numericItinerary($A7))="","",getPeakScore(S$2))</f>
        <v/>
      </c>
      <c r="T7" s="725" cm="1">
        <f t="array" ref="T7">IF(INDEX(mountaineeringHike,numericItinerary($A7))="","",getPeakScore(T$2))</f>
        <v>189</v>
      </c>
      <c r="U7" s="342" t="str" cm="1">
        <f t="array" ref="U7">IF(areaImportant&lt;&gt;"y","",IF(Itineraries!P7&lt;&gt;"Y","",getareascore(U$2)))</f>
        <v/>
      </c>
      <c r="V7" s="342" t="str" cm="1">
        <f t="array" ref="V7">IF(areaImportant&lt;&gt;"y","",IF(Itineraries!Q7&lt;&gt;"Y","",getareascore(V$2)))</f>
        <v/>
      </c>
      <c r="W7" s="342" cm="1">
        <f t="array" ref="W7">IF(areaImportant&lt;&gt;"y","",IF(Itineraries!R7&lt;&gt;"Y","",getareascore(W$2)))</f>
        <v>1000</v>
      </c>
      <c r="X7" s="1065" t="str" cm="1">
        <f t="array" ref="X7">IF(areaImportant&lt;&gt;"y","",IF(Itineraries!S7&lt;&gt;"Y","",getareascore(X$2)))</f>
        <v/>
      </c>
      <c r="Y7" s="1058" t="str" cm="1">
        <f t="array" ref="Y7">IF(ItineraryPrograms!C7="y",getScoreFactor("Program",Y$2),"")</f>
        <v/>
      </c>
      <c r="Z7" s="343" t="str" cm="1">
        <f t="array" ref="Z7">IF(ItineraryPrograms!D7="y",getScoreFactor("Program",Z$2),"")</f>
        <v/>
      </c>
      <c r="AA7" s="343" t="str" cm="1">
        <f t="array" ref="AA7">IF(ItineraryPrograms!E7="y",getScoreFactor("Program",AA$2),"")</f>
        <v/>
      </c>
      <c r="AB7" s="343" t="str" cm="1">
        <f t="array" ref="AB7">IF(ItineraryPrograms!F7="y",getScoreFactor("Program",AB$2),"")</f>
        <v/>
      </c>
      <c r="AC7" s="343" t="str" cm="1">
        <f t="array" ref="AC7">IF(ItineraryPrograms!G7="y",getScoreFactor("Program",AC$2),"")</f>
        <v/>
      </c>
      <c r="AD7" s="343" cm="1">
        <f t="array" ref="AD7">IF(ItineraryPrograms!H7="y",getScoreFactor("Program",AD$2),"")</f>
        <v>166.5</v>
      </c>
      <c r="AE7" s="343" cm="1">
        <f t="array" ref="AE7">IF(ItineraryPrograms!I7="y",getScoreFactor("Program",AE$2),"")</f>
        <v>166.5</v>
      </c>
      <c r="AF7" s="343" t="str" cm="1">
        <f t="array" ref="AF7">IF(ItineraryPrograms!J7="y",getScoreFactor("Program",AF$2),"")</f>
        <v/>
      </c>
      <c r="AG7" s="343" t="str" cm="1">
        <f t="array" ref="AG7">IF(ItineraryPrograms!K7="y",getScoreFactor("Program",AG$2),"")</f>
        <v/>
      </c>
      <c r="AH7" s="343" t="str" cm="1">
        <f t="array" ref="AH7">IF(ItineraryPrograms!L7="y",getScoreFactor("Program",AH$2),"")</f>
        <v/>
      </c>
      <c r="AI7" s="343" cm="1">
        <f t="array" ref="AI7">IF(ItineraryPrograms!M7="y",getScoreFactor("Program",AI$2),"")</f>
        <v>109.5</v>
      </c>
      <c r="AJ7" s="343" t="str" cm="1">
        <f t="array" ref="AJ7">IF(ItineraryPrograms!N7="y",getScoreFactor("Program",AJ$2),"")</f>
        <v/>
      </c>
      <c r="AK7" s="343" t="str" cm="1">
        <f t="array" ref="AK7">IF(ItineraryPrograms!O7="y",getScoreFactor("Program",AK$2),"")</f>
        <v/>
      </c>
      <c r="AL7" s="343" t="str" cm="1">
        <f t="array" ref="AL7">IF(ItineraryPrograms!P7="y",getScoreFactor("Program",AL$2),"")</f>
        <v/>
      </c>
      <c r="AM7" s="343" cm="1">
        <f t="array" ref="AM7">IF(ItineraryPrograms!Q7="y",getScoreFactor("Program",AM$2),"")</f>
        <v>123</v>
      </c>
      <c r="AN7" s="343" t="str" cm="1">
        <f t="array" ref="AN7">IF(ItineraryPrograms!R7="y",getScoreFactor("Program",AN$2),"")</f>
        <v/>
      </c>
      <c r="AO7" s="343" t="str" cm="1">
        <f t="array" ref="AO7">IF(ItineraryPrograms!S7="y",getScoreFactor("Program",AO$2),"")</f>
        <v/>
      </c>
      <c r="AP7" s="343" t="str" cm="1">
        <f t="array" ref="AP7">IF(ItineraryPrograms!T7="y",getScoreFactor("Program",AP$2),"")</f>
        <v/>
      </c>
      <c r="AQ7" s="343" cm="1">
        <f t="array" ref="AQ7">IF(ItineraryPrograms!U7="y",getScoreFactor("Program",AQ$2),"")</f>
        <v>93</v>
      </c>
      <c r="AR7" s="343" t="str" cm="1">
        <f t="array" ref="AR7">IF(ItineraryPrograms!V7="y",getScoreFactor("Program",AR$2),"")</f>
        <v/>
      </c>
      <c r="AS7" s="343" cm="1">
        <f t="array" ref="AS7">IF(ItineraryPrograms!W7="y",getScoreFactor("Program",AS$2),"")</f>
        <v>114</v>
      </c>
      <c r="AT7" s="343" cm="1">
        <f t="array" ref="AT7">IF(ItineraryPrograms!X7="y",getScoreFactor("Program",AT$2),"")</f>
        <v>129</v>
      </c>
      <c r="AU7" s="343" t="str" cm="1">
        <f t="array" ref="AU7">IF(ItineraryPrograms!Y7="y",getScoreFactor("Program",AU$2),"")</f>
        <v/>
      </c>
      <c r="AV7" s="343" cm="1">
        <f t="array" ref="AV7">IF(ItineraryPrograms!Z7="y",getScoreFactor("Program",AV$2),"")</f>
        <v>162</v>
      </c>
      <c r="AW7" s="343" t="str" cm="1">
        <f t="array" ref="AW7">IF(ItineraryPrograms!AA7="y",getScoreFactor("Program",AW$2),"")</f>
        <v/>
      </c>
      <c r="AX7" s="343" t="str" cm="1">
        <f t="array" ref="AX7">IF(ItineraryPrograms!AB7="y",getScoreFactor("Program",AX$2),"")</f>
        <v/>
      </c>
      <c r="AY7" s="343" t="str" cm="1">
        <f t="array" ref="AY7">IF(ItineraryPrograms!AC7="y",getScoreFactor("Program",AY$2),"")</f>
        <v/>
      </c>
      <c r="AZ7" s="343" cm="1">
        <f t="array" ref="AZ7">IF(ItineraryPrograms!AD7="y",getScoreFactor("Program",AZ$2),"")</f>
        <v>175.5</v>
      </c>
      <c r="BA7" s="343" t="str" cm="1">
        <f t="array" ref="BA7">IF(ItineraryPrograms!AE7="y",getScoreFactor("Program",BA$2),"")</f>
        <v/>
      </c>
      <c r="BB7" s="343" t="str" cm="1">
        <f t="array" ref="BB7">IF(ItineraryPrograms!AF7="y",getScoreFactor("Program",BB$2),"")</f>
        <v/>
      </c>
      <c r="BC7" s="343" cm="1">
        <f t="array" ref="BC7">IF(ItineraryPrograms!AG7="y",getScoreFactor("Program",BC$2),"")</f>
        <v>202.5</v>
      </c>
      <c r="BD7" s="343" t="str" cm="1">
        <f t="array" ref="BD7">IF(ItineraryPrograms!AH7="y",getScoreFactor("Program",BD$2),"")</f>
        <v/>
      </c>
      <c r="BE7" s="343" t="str" cm="1">
        <f t="array" ref="BE7">IF(ItineraryPrograms!AI7="y",getScoreFactor("Program",BE$2),"")</f>
        <v/>
      </c>
      <c r="BF7" s="343" t="str" cm="1">
        <f t="array" ref="BF7">IF(ItineraryPrograms!AJ7="y",getScoreFactor("Program",BF$2),"")</f>
        <v/>
      </c>
      <c r="BG7" s="343" cm="1">
        <f t="array" ref="BG7">IF(ItineraryPrograms!AK7="y",getScoreFactor("Program",BG$2),"")</f>
        <v>210</v>
      </c>
      <c r="BH7" s="343" t="str" cm="1">
        <f t="array" ref="BH7">IF(ItineraryPrograms!AL7="y",getScoreFactor("Program",BH$2),"")</f>
        <v/>
      </c>
      <c r="BI7" s="343" t="str" cm="1">
        <f t="array" ref="BI7">IF(ItineraryPrograms!AM7="y",getScoreFactor("Program",BI$2),"")</f>
        <v/>
      </c>
      <c r="BJ7" s="343" t="str" cm="1">
        <f t="array" ref="BJ7">IF(ItineraryPrograms!AN7="y",getScoreFactor("Program",BJ$2),"")</f>
        <v/>
      </c>
      <c r="BK7" s="343" t="str" cm="1">
        <f t="array" ref="BK7">IF(ItineraryPrograms!AO7="y",getScoreFactor("Program",BK$2),"")</f>
        <v/>
      </c>
      <c r="BL7" s="343" t="str" cm="1">
        <f t="array" ref="BL7">IF(ItineraryPrograms!AP7="y",getScoreFactor("Program",BL$2),"")</f>
        <v/>
      </c>
      <c r="BM7" s="343" cm="1">
        <f t="array" ref="BM7">IF(ItineraryPrograms!AQ7="y",getScoreFactor("Program",BM$2),"")</f>
        <v>210</v>
      </c>
      <c r="BN7" s="343" t="str" cm="1">
        <f t="array" ref="BN7">IF(ItineraryPrograms!AR7="y",getScoreFactor("Program",BN$2),"")</f>
        <v/>
      </c>
      <c r="BO7" s="343" t="str" cm="1">
        <f t="array" ref="BO7">IF(ItineraryPrograms!AS7="y",getScoreFactor("Program",BO$2),"")</f>
        <v/>
      </c>
      <c r="BP7" s="343" t="str" cm="1">
        <f t="array" ref="BP7">IF(ItineraryPrograms!AT7="y",getScoreFactor("Program",BP$2),"")</f>
        <v/>
      </c>
      <c r="BQ7" s="343" t="str" cm="1">
        <f t="array" ref="BQ7">IF(ItineraryPrograms!AU7="y",getScoreFactor("Program",BQ$2),"")</f>
        <v/>
      </c>
      <c r="BR7" s="343" t="str" cm="1">
        <f t="array" ref="BR7">IF(ItineraryPrograms!AV7="y",getScoreFactor("Program",BR$2),"")</f>
        <v/>
      </c>
      <c r="BS7" s="343" t="str" cm="1">
        <f t="array" ref="BS7">IF(ItineraryPrograms!AW7="y",getScoreFactor("Program",BS$2),"")</f>
        <v/>
      </c>
      <c r="BT7" s="343" t="str" cm="1">
        <f t="array" ref="BT7">IF(ItineraryPrograms!AX7="y",getScoreFactor("Program",BT$2),"")</f>
        <v/>
      </c>
      <c r="BU7" s="343" cm="1">
        <f t="array" ref="BU7">IF(ItineraryPrograms!AY7="y",getScoreFactor("Program",BU$2),"")</f>
        <v>207</v>
      </c>
      <c r="BV7" s="343" cm="1">
        <f t="array" ref="BV7">IF(ItineraryPrograms!AZ7="y",getScoreFactor("Program",BV$2),"")</f>
        <v>207</v>
      </c>
      <c r="BW7" s="343" t="str" cm="1">
        <f t="array" ref="BW7">IF(ItineraryPrograms!BA7="y",getScoreFactor("Program",BW$2),"")</f>
        <v/>
      </c>
      <c r="BX7" s="343" cm="1">
        <f t="array" ref="BX7">IF(ItineraryPrograms!BB7="y",getScoreFactor("Program",BX$2),"")</f>
        <v>235.5</v>
      </c>
      <c r="BY7" s="343" cm="1">
        <f t="array" ref="BY7">IF(ItineraryPrograms!BC7="y",getScoreFactor("Program",BY$2),"")</f>
        <v>133.5</v>
      </c>
      <c r="BZ7" s="343" cm="1">
        <f t="array" ref="BZ7">IF(ItineraryPrograms!BD7="y",getScoreFactor("Program",BZ$2),"")</f>
        <v>285</v>
      </c>
      <c r="CA7" s="343" t="e" cm="1">
        <f t="array" ref="CA7">IF(ItineraryPrograms!BE7="y",getScoreFactor("Program",CA$2),"")</f>
        <v>#VALUE!</v>
      </c>
      <c r="CB7" s="984" t="str" cm="1">
        <f t="array" ref="CB7">IF(ItineraryPrograms!BF7="y",getScoreFactor("Program",CB$2),"")</f>
        <v/>
      </c>
    </row>
    <row r="8" spans="1:80" x14ac:dyDescent="0.2">
      <c r="A8" s="185" t="str">
        <f>Itineraries!A8</f>
        <v>9-6</v>
      </c>
      <c r="B8" s="365">
        <f t="shared" si="16"/>
        <v>13363.166666666666</v>
      </c>
      <c r="C8" s="348" cm="1">
        <f t="array" ref="C8">getScoreFactor(C$2,itineraryCamps!C9)</f>
        <v>2666.6666666666665</v>
      </c>
      <c r="D8" s="341" cm="1">
        <f t="array" ref="D8">getScoreFactor(D$2,"Miles") *itineraryCamps!D9</f>
        <v>6200</v>
      </c>
      <c r="E8" s="580" cm="1">
        <f t="array" ref="E8">getScoreFactor(E$2,Itineraries!B8)</f>
        <v>30</v>
      </c>
      <c r="F8" s="580" cm="1">
        <f t="array" ref="F8">getScoreFactor(F$2,Itineraries!C8)</f>
        <v>90</v>
      </c>
      <c r="G8" s="349" cm="1">
        <f t="array" ref="G8">getScoreFactor(G$2,Itineraries!E8)</f>
        <v>100</v>
      </c>
      <c r="H8" s="349" cm="1">
        <f t="array" ref="H8">getScoreFactor(H$2,Itineraries!H8)</f>
        <v>250</v>
      </c>
      <c r="I8" s="349" cm="1">
        <f t="array" ref="I8">getScoreFactor(I$2,Itineraries!G8)</f>
        <v>75</v>
      </c>
      <c r="J8" s="587" cm="1">
        <f t="array" ref="J8">getScoreFactor(J$2,Itineraries!J8)</f>
        <v>20</v>
      </c>
      <c r="K8" s="587" cm="1">
        <f t="array" ref="K8">getScoreFactor(K$2,Itineraries!K8)</f>
        <v>50</v>
      </c>
      <c r="L8" s="588" cm="1">
        <f t="array" ref="L8">getScoreFactor(L$2,Itineraries!L8)</f>
        <v>300</v>
      </c>
      <c r="M8" s="259" cm="1">
        <f t="array" ref="M8">IF(INDEX(startingTA,numericItinerary($A8))=$M$2,getScoreFactor(M$2,"y"),getScoreFactor(M$2,"n"))</f>
        <v>0</v>
      </c>
      <c r="N8" s="575" cm="1">
        <f t="array" ref="N8">IF(INDEX(endingTA,numericItinerary($A8))=$N$2,getScoreFactor(N$2,"y"),getScoreFactor(N$2,"n"))</f>
        <v>0</v>
      </c>
      <c r="O8" s="1064" t="str" cm="1">
        <f t="array" ref="O8">IF(INDEX(baldyMountainHike,numericItinerary($A8))="","",getPeakScore(O$2))</f>
        <v/>
      </c>
      <c r="P8" s="725" t="str" cm="1">
        <f t="array" ref="P8">IF(INDEX(mountPhillipsHike,numericItinerary($A8))="","",getPeakScore(P$2))</f>
        <v/>
      </c>
      <c r="Q8" s="725" t="str" cm="1">
        <f t="array" ref="Q8">IF(INDEX(toothOfTimeHike,numericItinerary($A8))="","",getPeakScore(Q$2))</f>
        <v/>
      </c>
      <c r="R8" s="725" t="str" cm="1">
        <f t="array" ref="R8">IF(INDEX(inspirationPointHike,numericItinerary($A8))="","",getPeakScore(Q$2))</f>
        <v/>
      </c>
      <c r="S8" s="725" t="str" cm="1">
        <f t="array" ref="S8">IF(INDEX(trailPeakHike,numericItinerary($A8))="","",getPeakScore(S$2))</f>
        <v/>
      </c>
      <c r="T8" s="725" cm="1">
        <f t="array" ref="T8">IF(INDEX(mountaineeringHike,numericItinerary($A8))="","",getPeakScore(T$2))</f>
        <v>189</v>
      </c>
      <c r="U8" s="342" t="str" cm="1">
        <f t="array" ref="U8">IF(areaImportant&lt;&gt;"y","",IF(Itineraries!P8&lt;&gt;"Y","",getareascore(U$2)))</f>
        <v/>
      </c>
      <c r="V8" s="342" t="str" cm="1">
        <f t="array" ref="V8">IF(areaImportant&lt;&gt;"y","",IF(Itineraries!Q8&lt;&gt;"Y","",getareascore(V$2)))</f>
        <v/>
      </c>
      <c r="W8" s="342" cm="1">
        <f t="array" ref="W8">IF(areaImportant&lt;&gt;"y","",IF(Itineraries!R8&lt;&gt;"Y","",getareascore(W$2)))</f>
        <v>1000</v>
      </c>
      <c r="X8" s="1065" cm="1">
        <f t="array" ref="X8">IF(areaImportant&lt;&gt;"y","",IF(Itineraries!S8&lt;&gt;"Y","",getareascore(X$2)))</f>
        <v>600</v>
      </c>
      <c r="Y8" s="1058" t="str" cm="1">
        <f t="array" ref="Y8">IF(ItineraryPrograms!C8="y",getScoreFactor("Program",Y$2),"")</f>
        <v/>
      </c>
      <c r="Z8" s="343" t="str" cm="1">
        <f t="array" ref="Z8">IF(ItineraryPrograms!D8="y",getScoreFactor("Program",Z$2),"")</f>
        <v/>
      </c>
      <c r="AA8" s="343" t="str" cm="1">
        <f t="array" ref="AA8">IF(ItineraryPrograms!E8="y",getScoreFactor("Program",AA$2),"")</f>
        <v/>
      </c>
      <c r="AB8" s="343" t="str" cm="1">
        <f t="array" ref="AB8">IF(ItineraryPrograms!F8="y",getScoreFactor("Program",AB$2),"")</f>
        <v/>
      </c>
      <c r="AC8" s="343" t="str" cm="1">
        <f t="array" ref="AC8">IF(ItineraryPrograms!G8="y",getScoreFactor("Program",AC$2),"")</f>
        <v/>
      </c>
      <c r="AD8" s="343" cm="1">
        <f t="array" ref="AD8">IF(ItineraryPrograms!H8="y",getScoreFactor("Program",AD$2),"")</f>
        <v>166.5</v>
      </c>
      <c r="AE8" s="343" cm="1">
        <f t="array" ref="AE8">IF(ItineraryPrograms!I8="y",getScoreFactor("Program",AE$2),"")</f>
        <v>166.5</v>
      </c>
      <c r="AF8" s="343" t="str" cm="1">
        <f t="array" ref="AF8">IF(ItineraryPrograms!J8="y",getScoreFactor("Program",AF$2),"")</f>
        <v/>
      </c>
      <c r="AG8" s="343" t="str" cm="1">
        <f t="array" ref="AG8">IF(ItineraryPrograms!K8="y",getScoreFactor("Program",AG$2),"")</f>
        <v/>
      </c>
      <c r="AH8" s="343" t="str" cm="1">
        <f t="array" ref="AH8">IF(ItineraryPrograms!L8="y",getScoreFactor("Program",AH$2),"")</f>
        <v/>
      </c>
      <c r="AI8" s="343" cm="1">
        <f t="array" ref="AI8">IF(ItineraryPrograms!M8="y",getScoreFactor("Program",AI$2),"")</f>
        <v>109.5</v>
      </c>
      <c r="AJ8" s="343" cm="1">
        <f t="array" ref="AJ8">IF(ItineraryPrograms!N8="y",getScoreFactor("Program",AJ$2),"")</f>
        <v>109.5</v>
      </c>
      <c r="AK8" s="343" t="str" cm="1">
        <f t="array" ref="AK8">IF(ItineraryPrograms!O8="y",getScoreFactor("Program",AK$2),"")</f>
        <v/>
      </c>
      <c r="AL8" s="343" t="str" cm="1">
        <f t="array" ref="AL8">IF(ItineraryPrograms!P8="y",getScoreFactor("Program",AL$2),"")</f>
        <v/>
      </c>
      <c r="AM8" s="343" t="str" cm="1">
        <f t="array" ref="AM8">IF(ItineraryPrograms!Q8="y",getScoreFactor("Program",AM$2),"")</f>
        <v/>
      </c>
      <c r="AN8" s="343" t="str" cm="1">
        <f t="array" ref="AN8">IF(ItineraryPrograms!R8="y",getScoreFactor("Program",AN$2),"")</f>
        <v/>
      </c>
      <c r="AO8" s="343" cm="1">
        <f t="array" ref="AO8">IF(ItineraryPrograms!S8="y",getScoreFactor("Program",AO$2),"")</f>
        <v>106.5</v>
      </c>
      <c r="AP8" s="343" t="str" cm="1">
        <f t="array" ref="AP8">IF(ItineraryPrograms!T8="y",getScoreFactor("Program",AP$2),"")</f>
        <v/>
      </c>
      <c r="AQ8" s="343" cm="1">
        <f t="array" ref="AQ8">IF(ItineraryPrograms!U8="y",getScoreFactor("Program",AQ$2),"")</f>
        <v>93</v>
      </c>
      <c r="AR8" s="343" t="str" cm="1">
        <f t="array" ref="AR8">IF(ItineraryPrograms!V8="y",getScoreFactor("Program",AR$2),"")</f>
        <v/>
      </c>
      <c r="AS8" s="343" t="str" cm="1">
        <f t="array" ref="AS8">IF(ItineraryPrograms!W8="y",getScoreFactor("Program",AS$2),"")</f>
        <v/>
      </c>
      <c r="AT8" s="343" t="str" cm="1">
        <f t="array" ref="AT8">IF(ItineraryPrograms!X8="y",getScoreFactor("Program",AT$2),"")</f>
        <v/>
      </c>
      <c r="AU8" s="343" t="str" cm="1">
        <f t="array" ref="AU8">IF(ItineraryPrograms!Y8="y",getScoreFactor("Program",AU$2),"")</f>
        <v/>
      </c>
      <c r="AV8" s="343" cm="1">
        <f t="array" ref="AV8">IF(ItineraryPrograms!Z8="y",getScoreFactor("Program",AV$2),"")</f>
        <v>162</v>
      </c>
      <c r="AW8" s="343" t="str" cm="1">
        <f t="array" ref="AW8">IF(ItineraryPrograms!AA8="y",getScoreFactor("Program",AW$2),"")</f>
        <v/>
      </c>
      <c r="AX8" s="343" t="str" cm="1">
        <f t="array" ref="AX8">IF(ItineraryPrograms!AB8="y",getScoreFactor("Program",AX$2),"")</f>
        <v/>
      </c>
      <c r="AY8" s="343" t="str" cm="1">
        <f t="array" ref="AY8">IF(ItineraryPrograms!AC8="y",getScoreFactor("Program",AY$2),"")</f>
        <v/>
      </c>
      <c r="AZ8" s="343" t="str" cm="1">
        <f t="array" ref="AZ8">IF(ItineraryPrograms!AD8="y",getScoreFactor("Program",AZ$2),"")</f>
        <v/>
      </c>
      <c r="BA8" s="343" t="str" cm="1">
        <f t="array" ref="BA8">IF(ItineraryPrograms!AE8="y",getScoreFactor("Program",BA$2),"")</f>
        <v/>
      </c>
      <c r="BB8" s="343" t="str" cm="1">
        <f t="array" ref="BB8">IF(ItineraryPrograms!AF8="y",getScoreFactor("Program",BB$2),"")</f>
        <v/>
      </c>
      <c r="BC8" s="343" t="str" cm="1">
        <f t="array" ref="BC8">IF(ItineraryPrograms!AG8="y",getScoreFactor("Program",BC$2),"")</f>
        <v/>
      </c>
      <c r="BD8" s="343" t="str" cm="1">
        <f t="array" ref="BD8">IF(ItineraryPrograms!AH8="y",getScoreFactor("Program",BD$2),"")</f>
        <v/>
      </c>
      <c r="BE8" s="343" t="str" cm="1">
        <f t="array" ref="BE8">IF(ItineraryPrograms!AI8="y",getScoreFactor("Program",BE$2),"")</f>
        <v/>
      </c>
      <c r="BF8" s="343" cm="1">
        <f t="array" ref="BF8">IF(ItineraryPrograms!AJ8="y",getScoreFactor("Program",BF$2),"")</f>
        <v>220.5</v>
      </c>
      <c r="BG8" s="343" t="str" cm="1">
        <f t="array" ref="BG8">IF(ItineraryPrograms!AK8="y",getScoreFactor("Program",BG$2),"")</f>
        <v/>
      </c>
      <c r="BH8" s="343" cm="1">
        <f t="array" ref="BH8">IF(ItineraryPrograms!AL8="y",getScoreFactor("Program",BH$2),"")</f>
        <v>255</v>
      </c>
      <c r="BI8" s="343" t="str" cm="1">
        <f t="array" ref="BI8">IF(ItineraryPrograms!AM8="y",getScoreFactor("Program",BI$2),"")</f>
        <v/>
      </c>
      <c r="BJ8" s="343" cm="1">
        <f t="array" ref="BJ8">IF(ItineraryPrograms!AN8="y",getScoreFactor("Program",BJ$2),"")</f>
        <v>193.5</v>
      </c>
      <c r="BK8" s="343" t="str" cm="1">
        <f t="array" ref="BK8">IF(ItineraryPrograms!AO8="y",getScoreFactor("Program",BK$2),"")</f>
        <v/>
      </c>
      <c r="BL8" s="343" t="str" cm="1">
        <f t="array" ref="BL8">IF(ItineraryPrograms!AP8="y",getScoreFactor("Program",BL$2),"")</f>
        <v/>
      </c>
      <c r="BM8" s="343" cm="1">
        <f t="array" ref="BM8">IF(ItineraryPrograms!AQ8="y",getScoreFactor("Program",BM$2),"")</f>
        <v>210</v>
      </c>
      <c r="BN8" s="343" t="str" cm="1">
        <f t="array" ref="BN8">IF(ItineraryPrograms!AR8="y",getScoreFactor("Program",BN$2),"")</f>
        <v/>
      </c>
      <c r="BO8" s="343" t="str" cm="1">
        <f t="array" ref="BO8">IF(ItineraryPrograms!AS8="y",getScoreFactor("Program",BO$2),"")</f>
        <v/>
      </c>
      <c r="BP8" s="343" t="str" cm="1">
        <f t="array" ref="BP8">IF(ItineraryPrograms!AT8="y",getScoreFactor("Program",BP$2),"")</f>
        <v/>
      </c>
      <c r="BQ8" s="343" t="str" cm="1">
        <f t="array" ref="BQ8">IF(ItineraryPrograms!AU8="y",getScoreFactor("Program",BQ$2),"")</f>
        <v/>
      </c>
      <c r="BR8" s="343" t="str" cm="1">
        <f t="array" ref="BR8">IF(ItineraryPrograms!AV8="y",getScoreFactor("Program",BR$2),"")</f>
        <v/>
      </c>
      <c r="BS8" s="343" t="str" cm="1">
        <f t="array" ref="BS8">IF(ItineraryPrograms!AW8="y",getScoreFactor("Program",BS$2),"")</f>
        <v/>
      </c>
      <c r="BT8" s="343" t="str" cm="1">
        <f t="array" ref="BT8">IF(ItineraryPrograms!AX8="y",getScoreFactor("Program",BT$2),"")</f>
        <v/>
      </c>
      <c r="BU8" s="343" t="str" cm="1">
        <f t="array" ref="BU8">IF(ItineraryPrograms!AY8="y",getScoreFactor("Program",BU$2),"")</f>
        <v/>
      </c>
      <c r="BV8" s="343" cm="1">
        <f t="array" ref="BV8">IF(ItineraryPrograms!AZ8="y",getScoreFactor("Program",BV$2),"")</f>
        <v>207</v>
      </c>
      <c r="BW8" s="343" cm="1">
        <f t="array" ref="BW8">IF(ItineraryPrograms!BA8="y",getScoreFactor("Program",BW$2),"")</f>
        <v>91.5</v>
      </c>
      <c r="BX8" s="343" t="str" cm="1">
        <f t="array" ref="BX8">IF(ItineraryPrograms!BB8="y",getScoreFactor("Program",BX$2),"")</f>
        <v/>
      </c>
      <c r="BY8" s="343" cm="1">
        <f t="array" ref="BY8">IF(ItineraryPrograms!BC8="y",getScoreFactor("Program",BY$2),"")</f>
        <v>133.5</v>
      </c>
      <c r="BZ8" s="343" cm="1">
        <f t="array" ref="BZ8">IF(ItineraryPrograms!BD8="y",getScoreFactor("Program",BZ$2),"")</f>
        <v>285</v>
      </c>
      <c r="CA8" s="343" t="e" cm="1">
        <f t="array" ref="CA8">IF(ItineraryPrograms!BE8="y",getScoreFactor("Program",CA$2),"")</f>
        <v>#VALUE!</v>
      </c>
      <c r="CB8" s="984" t="str" cm="1">
        <f t="array" ref="CB8">IF(ItineraryPrograms!BF8="y",getScoreFactor("Program",CB$2),"")</f>
        <v/>
      </c>
    </row>
    <row r="9" spans="1:80" x14ac:dyDescent="0.2">
      <c r="A9" s="185" t="str">
        <f>Itineraries!A9</f>
        <v>9-7</v>
      </c>
      <c r="B9" s="365">
        <f t="shared" si="16"/>
        <v>10761.083333333332</v>
      </c>
      <c r="C9" s="348" cm="1">
        <f t="array" ref="C9">getScoreFactor(C$2,itineraryCamps!C10)</f>
        <v>2833.333333333333</v>
      </c>
      <c r="D9" s="341" cm="1">
        <f t="array" ref="D9">getScoreFactor(D$2,"Miles") *itineraryCamps!D10</f>
        <v>4200</v>
      </c>
      <c r="E9" s="580" cm="1">
        <f t="array" ref="E9">getScoreFactor(E$2,Itineraries!B9)</f>
        <v>30</v>
      </c>
      <c r="F9" s="580" cm="1">
        <f t="array" ref="F9">getScoreFactor(F$2,Itineraries!C9)</f>
        <v>70</v>
      </c>
      <c r="G9" s="349" cm="1">
        <f t="array" ref="G9">getScoreFactor(G$2,Itineraries!E9)</f>
        <v>75</v>
      </c>
      <c r="H9" s="349" cm="1">
        <f t="array" ref="H9">getScoreFactor(H$2,Itineraries!H9)</f>
        <v>250</v>
      </c>
      <c r="I9" s="349" cm="1">
        <f t="array" ref="I9">getScoreFactor(I$2,Itineraries!G9)</f>
        <v>75</v>
      </c>
      <c r="J9" s="587" cm="1">
        <f t="array" ref="J9">getScoreFactor(J$2,Itineraries!J9)</f>
        <v>110</v>
      </c>
      <c r="K9" s="587" cm="1">
        <f t="array" ref="K9">getScoreFactor(K$2,Itineraries!K9)</f>
        <v>90</v>
      </c>
      <c r="L9" s="588" cm="1">
        <f t="array" ref="L9">getScoreFactor(L$2,Itineraries!L9)</f>
        <v>0</v>
      </c>
      <c r="M9" s="259" cm="1">
        <f t="array" ref="M9">IF(INDEX(startingTA,numericItinerary($A9))=$M$2,getScoreFactor(M$2,"y"),getScoreFactor(M$2,"n"))</f>
        <v>0</v>
      </c>
      <c r="N9" s="575" cm="1">
        <f t="array" ref="N9">IF(INDEX(endingTA,numericItinerary($A9))=$N$2,getScoreFactor(N$2,"y"),getScoreFactor(N$2,"n"))</f>
        <v>0</v>
      </c>
      <c r="O9" s="1064" t="str" cm="1">
        <f t="array" ref="O9">IF(INDEX(baldyMountainHike,numericItinerary($A9))="","",getPeakScore(O$2))</f>
        <v/>
      </c>
      <c r="P9" s="725" cm="1">
        <f t="array" ref="P9">IF(INDEX(mountPhillipsHike,numericItinerary($A9))="","",getPeakScore(P$2))</f>
        <v>231.75</v>
      </c>
      <c r="Q9" s="725" t="str" cm="1">
        <f t="array" ref="Q9">IF(INDEX(toothOfTimeHike,numericItinerary($A9))="","",getPeakScore(Q$2))</f>
        <v/>
      </c>
      <c r="R9" s="725" t="str" cm="1">
        <f t="array" ref="R9">IF(INDEX(inspirationPointHike,numericItinerary($A9))="","",getPeakScore(Q$2))</f>
        <v/>
      </c>
      <c r="S9" s="725" t="str" cm="1">
        <f t="array" ref="S9">IF(INDEX(trailPeakHike,numericItinerary($A9))="","",getPeakScore(S$2))</f>
        <v/>
      </c>
      <c r="T9" s="725" cm="1">
        <f t="array" ref="T9">IF(INDEX(mountaineeringHike,numericItinerary($A9))="","",getPeakScore(T$2))</f>
        <v>189</v>
      </c>
      <c r="U9" s="342" t="str" cm="1">
        <f t="array" ref="U9">IF(areaImportant&lt;&gt;"y","",IF(Itineraries!P9&lt;&gt;"Y","",getareascore(U$2)))</f>
        <v/>
      </c>
      <c r="V9" s="342" cm="1">
        <f t="array" ref="V9">IF(areaImportant&lt;&gt;"y","",IF(Itineraries!Q9&lt;&gt;"Y","",getareascore(V$2)))</f>
        <v>150</v>
      </c>
      <c r="W9" s="342" t="str" cm="1">
        <f t="array" ref="W9">IF(areaImportant&lt;&gt;"y","",IF(Itineraries!R9&lt;&gt;"Y","",getareascore(W$2)))</f>
        <v/>
      </c>
      <c r="X9" s="1065" t="str" cm="1">
        <f t="array" ref="X9">IF(areaImportant&lt;&gt;"y","",IF(Itineraries!S9&lt;&gt;"Y","",getareascore(X$2)))</f>
        <v/>
      </c>
      <c r="Y9" s="1058" cm="1">
        <f t="array" ref="Y9">IF(ItineraryPrograms!C9="y",getScoreFactor("Program",Y$2),"")</f>
        <v>228</v>
      </c>
      <c r="Z9" s="343" t="str" cm="1">
        <f t="array" ref="Z9">IF(ItineraryPrograms!D9="y",getScoreFactor("Program",Z$2),"")</f>
        <v/>
      </c>
      <c r="AA9" s="343" t="str" cm="1">
        <f t="array" ref="AA9">IF(ItineraryPrograms!E9="y",getScoreFactor("Program",AA$2),"")</f>
        <v/>
      </c>
      <c r="AB9" s="343" cm="1">
        <f t="array" ref="AB9">IF(ItineraryPrograms!F9="y",getScoreFactor("Program",AB$2),"")</f>
        <v>282</v>
      </c>
      <c r="AC9" s="343" t="str" cm="1">
        <f t="array" ref="AC9">IF(ItineraryPrograms!G9="y",getScoreFactor("Program",AC$2),"")</f>
        <v/>
      </c>
      <c r="AD9" s="343" t="str" cm="1">
        <f t="array" ref="AD9">IF(ItineraryPrograms!H9="y",getScoreFactor("Program",AD$2),"")</f>
        <v/>
      </c>
      <c r="AE9" s="343" t="str" cm="1">
        <f t="array" ref="AE9">IF(ItineraryPrograms!I9="y",getScoreFactor("Program",AE$2),"")</f>
        <v/>
      </c>
      <c r="AF9" s="343" t="str" cm="1">
        <f t="array" ref="AF9">IF(ItineraryPrograms!J9="y",getScoreFactor("Program",AF$2),"")</f>
        <v/>
      </c>
      <c r="AG9" s="343" t="str" cm="1">
        <f t="array" ref="AG9">IF(ItineraryPrograms!K9="y",getScoreFactor("Program",AG$2),"")</f>
        <v/>
      </c>
      <c r="AH9" s="343" t="str" cm="1">
        <f t="array" ref="AH9">IF(ItineraryPrograms!L9="y",getScoreFactor("Program",AH$2),"")</f>
        <v/>
      </c>
      <c r="AI9" s="343" cm="1">
        <f t="array" ref="AI9">IF(ItineraryPrograms!M9="y",getScoreFactor("Program",AI$2),"")</f>
        <v>109.5</v>
      </c>
      <c r="AJ9" s="343" t="str" cm="1">
        <f t="array" ref="AJ9">IF(ItineraryPrograms!N9="y",getScoreFactor("Program",AJ$2),"")</f>
        <v/>
      </c>
      <c r="AK9" s="343" t="str" cm="1">
        <f t="array" ref="AK9">IF(ItineraryPrograms!O9="y",getScoreFactor("Program",AK$2),"")</f>
        <v/>
      </c>
      <c r="AL9" s="343" t="str" cm="1">
        <f t="array" ref="AL9">IF(ItineraryPrograms!P9="y",getScoreFactor("Program",AL$2),"")</f>
        <v/>
      </c>
      <c r="AM9" s="343" cm="1">
        <f t="array" ref="AM9">IF(ItineraryPrograms!Q9="y",getScoreFactor("Program",AM$2),"")</f>
        <v>123</v>
      </c>
      <c r="AN9" s="343" t="str" cm="1">
        <f t="array" ref="AN9">IF(ItineraryPrograms!R9="y",getScoreFactor("Program",AN$2),"")</f>
        <v/>
      </c>
      <c r="AO9" s="343" t="str" cm="1">
        <f t="array" ref="AO9">IF(ItineraryPrograms!S9="y",getScoreFactor("Program",AO$2),"")</f>
        <v/>
      </c>
      <c r="AP9" s="343" t="str" cm="1">
        <f t="array" ref="AP9">IF(ItineraryPrograms!T9="y",getScoreFactor("Program",AP$2),"")</f>
        <v/>
      </c>
      <c r="AQ9" s="343" t="str" cm="1">
        <f t="array" ref="AQ9">IF(ItineraryPrograms!U9="y",getScoreFactor("Program",AQ$2),"")</f>
        <v/>
      </c>
      <c r="AR9" s="343" t="str" cm="1">
        <f t="array" ref="AR9">IF(ItineraryPrograms!V9="y",getScoreFactor("Program",AR$2),"")</f>
        <v/>
      </c>
      <c r="AS9" s="343" t="str" cm="1">
        <f t="array" ref="AS9">IF(ItineraryPrograms!W9="y",getScoreFactor("Program",AS$2),"")</f>
        <v/>
      </c>
      <c r="AT9" s="343" cm="1">
        <f t="array" ref="AT9">IF(ItineraryPrograms!X9="y",getScoreFactor("Program",AT$2),"")</f>
        <v>129</v>
      </c>
      <c r="AU9" s="343" t="str" cm="1">
        <f t="array" ref="AU9">IF(ItineraryPrograms!Y9="y",getScoreFactor("Program",AU$2),"")</f>
        <v/>
      </c>
      <c r="AV9" s="343" t="str" cm="1">
        <f t="array" ref="AV9">IF(ItineraryPrograms!Z9="y",getScoreFactor("Program",AV$2),"")</f>
        <v/>
      </c>
      <c r="AW9" s="343" t="str" cm="1">
        <f t="array" ref="AW9">IF(ItineraryPrograms!AA9="y",getScoreFactor("Program",AW$2),"")</f>
        <v/>
      </c>
      <c r="AX9" s="343" t="str" cm="1">
        <f t="array" ref="AX9">IF(ItineraryPrograms!AB9="y",getScoreFactor("Program",AX$2),"")</f>
        <v/>
      </c>
      <c r="AY9" s="343" t="str" cm="1">
        <f t="array" ref="AY9">IF(ItineraryPrograms!AC9="y",getScoreFactor("Program",AY$2),"")</f>
        <v/>
      </c>
      <c r="AZ9" s="343" t="str" cm="1">
        <f t="array" ref="AZ9">IF(ItineraryPrograms!AD9="y",getScoreFactor("Program",AZ$2),"")</f>
        <v/>
      </c>
      <c r="BA9" s="343" t="str" cm="1">
        <f t="array" ref="BA9">IF(ItineraryPrograms!AE9="y",getScoreFactor("Program",BA$2),"")</f>
        <v/>
      </c>
      <c r="BB9" s="343" cm="1">
        <f t="array" ref="BB9">IF(ItineraryPrograms!AF9="y",getScoreFactor("Program",BB$2),"")</f>
        <v>189</v>
      </c>
      <c r="BC9" s="343" t="str" cm="1">
        <f t="array" ref="BC9">IF(ItineraryPrograms!AG9="y",getScoreFactor("Program",BC$2),"")</f>
        <v/>
      </c>
      <c r="BD9" s="343" t="str" cm="1">
        <f t="array" ref="BD9">IF(ItineraryPrograms!AH9="y",getScoreFactor("Program",BD$2),"")</f>
        <v/>
      </c>
      <c r="BE9" s="343" t="str" cm="1">
        <f t="array" ref="BE9">IF(ItineraryPrograms!AI9="y",getScoreFactor("Program",BE$2),"")</f>
        <v/>
      </c>
      <c r="BF9" s="343" t="str" cm="1">
        <f t="array" ref="BF9">IF(ItineraryPrograms!AJ9="y",getScoreFactor("Program",BF$2),"")</f>
        <v/>
      </c>
      <c r="BG9" s="343" t="str" cm="1">
        <f t="array" ref="BG9">IF(ItineraryPrograms!AK9="y",getScoreFactor("Program",BG$2),"")</f>
        <v/>
      </c>
      <c r="BH9" s="343" t="str" cm="1">
        <f t="array" ref="BH9">IF(ItineraryPrograms!AL9="y",getScoreFactor("Program",BH$2),"")</f>
        <v/>
      </c>
      <c r="BI9" s="343" t="str" cm="1">
        <f t="array" ref="BI9">IF(ItineraryPrograms!AM9="y",getScoreFactor("Program",BI$2),"")</f>
        <v/>
      </c>
      <c r="BJ9" s="343" t="str" cm="1">
        <f t="array" ref="BJ9">IF(ItineraryPrograms!AN9="y",getScoreFactor("Program",BJ$2),"")</f>
        <v/>
      </c>
      <c r="BK9" s="343" cm="1">
        <f t="array" ref="BK9">IF(ItineraryPrograms!AO9="y",getScoreFactor("Program",BK$2),"")</f>
        <v>181.5</v>
      </c>
      <c r="BL9" s="343" cm="1">
        <f t="array" ref="BL9">IF(ItineraryPrograms!AP9="y",getScoreFactor("Program",BL$2),"")</f>
        <v>220.5</v>
      </c>
      <c r="BM9" s="343" t="str" cm="1">
        <f t="array" ref="BM9">IF(ItineraryPrograms!AQ9="y",getScoreFactor("Program",BM$2),"")</f>
        <v/>
      </c>
      <c r="BN9" s="343" cm="1">
        <f t="array" ref="BN9">IF(ItineraryPrograms!AR9="y",getScoreFactor("Program",BN$2),"")</f>
        <v>255</v>
      </c>
      <c r="BO9" s="343" t="str" cm="1">
        <f t="array" ref="BO9">IF(ItineraryPrograms!AS9="y",getScoreFactor("Program",BO$2),"")</f>
        <v/>
      </c>
      <c r="BP9" s="343" cm="1">
        <f t="array" ref="BP9">IF(ItineraryPrograms!AT9="y",getScoreFactor("Program",BP$2),"")</f>
        <v>193.5</v>
      </c>
      <c r="BQ9" s="343" t="str" cm="1">
        <f t="array" ref="BQ9">IF(ItineraryPrograms!AU9="y",getScoreFactor("Program",BQ$2),"")</f>
        <v/>
      </c>
      <c r="BR9" s="343" cm="1">
        <f t="array" ref="BR9">IF(ItineraryPrograms!AV9="y",getScoreFactor("Program",BR$2),"")</f>
        <v>136.5</v>
      </c>
      <c r="BS9" s="343" cm="1">
        <f t="array" ref="BS9">IF(ItineraryPrograms!AW9="y",getScoreFactor("Program",BS$2),"")</f>
        <v>202.5</v>
      </c>
      <c r="BT9" s="343" cm="1">
        <f t="array" ref="BT9">IF(ItineraryPrograms!AX9="y",getScoreFactor("Program",BT$2),"")</f>
        <v>207</v>
      </c>
      <c r="BU9" s="343" t="str" cm="1">
        <f t="array" ref="BU9">IF(ItineraryPrograms!AY9="y",getScoreFactor("Program",BU$2),"")</f>
        <v/>
      </c>
      <c r="BV9" s="343" t="str" cm="1">
        <f t="array" ref="BV9">IF(ItineraryPrograms!AZ9="y",getScoreFactor("Program",BV$2),"")</f>
        <v/>
      </c>
      <c r="BW9" s="343" t="str" cm="1">
        <f t="array" ref="BW9">IF(ItineraryPrograms!BA9="y",getScoreFactor("Program",BW$2),"")</f>
        <v/>
      </c>
      <c r="BX9" s="343" t="str" cm="1">
        <f t="array" ref="BX9">IF(ItineraryPrograms!BB9="y",getScoreFactor("Program",BX$2),"")</f>
        <v/>
      </c>
      <c r="BY9" s="343" t="str" cm="1">
        <f t="array" ref="BY9">IF(ItineraryPrograms!BC9="y",getScoreFactor("Program",BY$2),"")</f>
        <v/>
      </c>
      <c r="BZ9" s="343" t="str" cm="1">
        <f t="array" ref="BZ9">IF(ItineraryPrograms!BD9="y",getScoreFactor("Program",BZ$2),"")</f>
        <v/>
      </c>
      <c r="CA9" s="343" t="str" cm="1">
        <f t="array" ref="CA9">IF(ItineraryPrograms!BE9="y",getScoreFactor("Program",CA$2),"")</f>
        <v/>
      </c>
      <c r="CB9" s="984" t="str" cm="1">
        <f t="array" ref="CB9">IF(ItineraryPrograms!BF9="y",getScoreFactor("Program",CB$2),"")</f>
        <v/>
      </c>
    </row>
    <row r="10" spans="1:80" x14ac:dyDescent="0.2">
      <c r="A10" s="185" t="str">
        <f>Itineraries!A10</f>
        <v>9-8</v>
      </c>
      <c r="B10" s="365">
        <f t="shared" si="16"/>
        <v>11933.833333333332</v>
      </c>
      <c r="C10" s="348" cm="1">
        <f t="array" ref="C10">getScoreFactor(C$2,itineraryCamps!C11)</f>
        <v>2833.333333333333</v>
      </c>
      <c r="D10" s="341" cm="1">
        <f t="array" ref="D10">getScoreFactor(D$2,"Miles") *itineraryCamps!D11</f>
        <v>4400</v>
      </c>
      <c r="E10" s="580" cm="1">
        <f t="array" ref="E10">getScoreFactor(E$2,Itineraries!B10)</f>
        <v>30</v>
      </c>
      <c r="F10" s="580" cm="1">
        <f t="array" ref="F10">getScoreFactor(F$2,Itineraries!C10)</f>
        <v>90</v>
      </c>
      <c r="G10" s="349" cm="1">
        <f t="array" ref="G10">getScoreFactor(G$2,Itineraries!E10)</f>
        <v>50</v>
      </c>
      <c r="H10" s="349" cm="1">
        <f t="array" ref="H10">getScoreFactor(H$2,Itineraries!H10)</f>
        <v>250</v>
      </c>
      <c r="I10" s="349" cm="1">
        <f t="array" ref="I10">getScoreFactor(I$2,Itineraries!G10)</f>
        <v>75</v>
      </c>
      <c r="J10" s="587" cm="1">
        <f t="array" ref="J10">getScoreFactor(J$2,Itineraries!J10)</f>
        <v>50</v>
      </c>
      <c r="K10" s="587" cm="1">
        <f t="array" ref="K10">getScoreFactor(K$2,Itineraries!K10)</f>
        <v>60</v>
      </c>
      <c r="L10" s="588" cm="1">
        <f t="array" ref="L10">getScoreFactor(L$2,Itineraries!L10)</f>
        <v>300</v>
      </c>
      <c r="M10" s="259" cm="1">
        <f t="array" ref="M10">IF(INDEX(startingTA,numericItinerary($A10))=$M$2,getScoreFactor(M$2,"y"),getScoreFactor(M$2,"n"))</f>
        <v>0</v>
      </c>
      <c r="N10" s="575" cm="1">
        <f t="array" ref="N10">IF(INDEX(endingTA,numericItinerary($A10))=$N$2,getScoreFactor(N$2,"y"),getScoreFactor(N$2,"n"))</f>
        <v>0</v>
      </c>
      <c r="O10" s="1064" t="str" cm="1">
        <f t="array" ref="O10">IF(INDEX(baldyMountainHike,numericItinerary($A10))="","",getPeakScore(O$2))</f>
        <v/>
      </c>
      <c r="P10" s="725" t="str" cm="1">
        <f t="array" ref="P10">IF(INDEX(mountPhillipsHike,numericItinerary($A10))="","",getPeakScore(P$2))</f>
        <v/>
      </c>
      <c r="Q10" s="725" cm="1">
        <f t="array" ref="Q10">IF(INDEX(toothOfTimeHike,numericItinerary($A10))="","",getPeakScore(Q$2))</f>
        <v>303.75</v>
      </c>
      <c r="R10" s="725" cm="1">
        <f t="array" ref="R10">IF(INDEX(inspirationPointHike,numericItinerary($A10))="","",getPeakScore(Q$2))</f>
        <v>303.75</v>
      </c>
      <c r="S10" s="725" cm="1">
        <f t="array" ref="S10">IF(INDEX(trailPeakHike,numericItinerary($A10))="","",getPeakScore(S$2))</f>
        <v>91.5</v>
      </c>
      <c r="T10" s="725" t="str" cm="1">
        <f t="array" ref="T10">IF(INDEX(mountaineeringHike,numericItinerary($A10))="","",getPeakScore(T$2))</f>
        <v/>
      </c>
      <c r="U10" s="342" cm="1">
        <f t="array" ref="U10">IF(areaImportant&lt;&gt;"y","",IF(Itineraries!P10&lt;&gt;"Y","",getareascore(U$2)))</f>
        <v>200</v>
      </c>
      <c r="V10" s="342" t="str" cm="1">
        <f t="array" ref="V10">IF(areaImportant&lt;&gt;"y","",IF(Itineraries!Q10&lt;&gt;"Y","",getareascore(V$2)))</f>
        <v/>
      </c>
      <c r="W10" s="342" t="str" cm="1">
        <f t="array" ref="W10">IF(areaImportant&lt;&gt;"y","",IF(Itineraries!R10&lt;&gt;"Y","",getareascore(W$2)))</f>
        <v/>
      </c>
      <c r="X10" s="1065" t="str" cm="1">
        <f t="array" ref="X10">IF(areaImportant&lt;&gt;"y","",IF(Itineraries!S10&lt;&gt;"Y","",getareascore(X$2)))</f>
        <v/>
      </c>
      <c r="Y10" s="1058" t="str" cm="1">
        <f t="array" ref="Y10">IF(ItineraryPrograms!C10="y",getScoreFactor("Program",Y$2),"")</f>
        <v/>
      </c>
      <c r="Z10" s="343" t="str" cm="1">
        <f t="array" ref="Z10">IF(ItineraryPrograms!D10="y",getScoreFactor("Program",Z$2),"")</f>
        <v/>
      </c>
      <c r="AA10" s="343" t="str" cm="1">
        <f t="array" ref="AA10">IF(ItineraryPrograms!E10="y",getScoreFactor("Program",AA$2),"")</f>
        <v/>
      </c>
      <c r="AB10" s="343" t="str" cm="1">
        <f t="array" ref="AB10">IF(ItineraryPrograms!F10="y",getScoreFactor("Program",AB$2),"")</f>
        <v/>
      </c>
      <c r="AC10" s="343" cm="1">
        <f t="array" ref="AC10">IF(ItineraryPrograms!G10="y",getScoreFactor("Program",AC$2),"")</f>
        <v>162</v>
      </c>
      <c r="AD10" s="343" cm="1">
        <f t="array" ref="AD10">IF(ItineraryPrograms!H10="y",getScoreFactor("Program",AD$2),"")</f>
        <v>166.5</v>
      </c>
      <c r="AE10" s="343" cm="1">
        <f t="array" ref="AE10">IF(ItineraryPrograms!I10="y",getScoreFactor("Program",AE$2),"")</f>
        <v>166.5</v>
      </c>
      <c r="AF10" s="343" t="str" cm="1">
        <f t="array" ref="AF10">IF(ItineraryPrograms!J10="y",getScoreFactor("Program",AF$2),"")</f>
        <v/>
      </c>
      <c r="AG10" s="343" cm="1">
        <f t="array" ref="AG10">IF(ItineraryPrograms!K10="y",getScoreFactor("Program",AG$2),"")</f>
        <v>130.5</v>
      </c>
      <c r="AH10" s="343" t="str" cm="1">
        <f t="array" ref="AH10">IF(ItineraryPrograms!L10="y",getScoreFactor("Program",AH$2),"")</f>
        <v/>
      </c>
      <c r="AI10" s="343" cm="1">
        <f t="array" ref="AI10">IF(ItineraryPrograms!M10="y",getScoreFactor("Program",AI$2),"")</f>
        <v>109.5</v>
      </c>
      <c r="AJ10" s="343" cm="1">
        <f t="array" ref="AJ10">IF(ItineraryPrograms!N10="y",getScoreFactor("Program",AJ$2),"")</f>
        <v>109.5</v>
      </c>
      <c r="AK10" s="343" cm="1">
        <f t="array" ref="AK10">IF(ItineraryPrograms!O10="y",getScoreFactor("Program",AK$2),"")</f>
        <v>111</v>
      </c>
      <c r="AL10" s="343" cm="1">
        <f t="array" ref="AL10">IF(ItineraryPrograms!P10="y",getScoreFactor("Program",AL$2),"")</f>
        <v>114</v>
      </c>
      <c r="AM10" s="343" t="str" cm="1">
        <f t="array" ref="AM10">IF(ItineraryPrograms!Q10="y",getScoreFactor("Program",AM$2),"")</f>
        <v/>
      </c>
      <c r="AN10" s="343" t="str" cm="1">
        <f t="array" ref="AN10">IF(ItineraryPrograms!R10="y",getScoreFactor("Program",AN$2),"")</f>
        <v/>
      </c>
      <c r="AO10" s="343" cm="1">
        <f t="array" ref="AO10">IF(ItineraryPrograms!S10="y",getScoreFactor("Program",AO$2),"")</f>
        <v>106.5</v>
      </c>
      <c r="AP10" s="343" cm="1">
        <f t="array" ref="AP10">IF(ItineraryPrograms!T10="y",getScoreFactor("Program",AP$2),"")</f>
        <v>145.5</v>
      </c>
      <c r="AQ10" s="343" cm="1">
        <f t="array" ref="AQ10">IF(ItineraryPrograms!U10="y",getScoreFactor("Program",AQ$2),"")</f>
        <v>93</v>
      </c>
      <c r="AR10" s="343" cm="1">
        <f t="array" ref="AR10">IF(ItineraryPrograms!V10="y",getScoreFactor("Program",AR$2),"")</f>
        <v>156</v>
      </c>
      <c r="AS10" s="343" t="str" cm="1">
        <f t="array" ref="AS10">IF(ItineraryPrograms!W10="y",getScoreFactor("Program",AS$2),"")</f>
        <v/>
      </c>
      <c r="AT10" s="343" t="str" cm="1">
        <f t="array" ref="AT10">IF(ItineraryPrograms!X10="y",getScoreFactor("Program",AT$2),"")</f>
        <v/>
      </c>
      <c r="AU10" s="343" t="str" cm="1">
        <f t="array" ref="AU10">IF(ItineraryPrograms!Y10="y",getScoreFactor("Program",AU$2),"")</f>
        <v/>
      </c>
      <c r="AV10" s="343" t="str" cm="1">
        <f t="array" ref="AV10">IF(ItineraryPrograms!Z10="y",getScoreFactor("Program",AV$2),"")</f>
        <v/>
      </c>
      <c r="AW10" s="343" t="str" cm="1">
        <f t="array" ref="AW10">IF(ItineraryPrograms!AA10="y",getScoreFactor("Program",AW$2),"")</f>
        <v/>
      </c>
      <c r="AX10" s="343" t="str" cm="1">
        <f t="array" ref="AX10">IF(ItineraryPrograms!AB10="y",getScoreFactor("Program",AX$2),"")</f>
        <v/>
      </c>
      <c r="AY10" s="343" t="str" cm="1">
        <f t="array" ref="AY10">IF(ItineraryPrograms!AC10="y",getScoreFactor("Program",AY$2),"")</f>
        <v/>
      </c>
      <c r="AZ10" s="343" t="str" cm="1">
        <f t="array" ref="AZ10">IF(ItineraryPrograms!AD10="y",getScoreFactor("Program",AZ$2),"")</f>
        <v/>
      </c>
      <c r="BA10" s="343" cm="1">
        <f t="array" ref="BA10">IF(ItineraryPrograms!AE10="y",getScoreFactor("Program",BA$2),"")</f>
        <v>154.5</v>
      </c>
      <c r="BB10" s="343" t="str" cm="1">
        <f t="array" ref="BB10">IF(ItineraryPrograms!AF10="y",getScoreFactor("Program",BB$2),"")</f>
        <v/>
      </c>
      <c r="BC10" s="343" cm="1">
        <f t="array" ref="BC10">IF(ItineraryPrograms!AG10="y",getScoreFactor("Program",BC$2),"")</f>
        <v>202.5</v>
      </c>
      <c r="BD10" s="343" cm="1">
        <f t="array" ref="BD10">IF(ItineraryPrograms!AH10="y",getScoreFactor("Program",BD$2),"")</f>
        <v>91.5</v>
      </c>
      <c r="BE10" s="343" t="str" cm="1">
        <f t="array" ref="BE10">IF(ItineraryPrograms!AI10="y",getScoreFactor("Program",BE$2),"")</f>
        <v/>
      </c>
      <c r="BF10" s="343" cm="1">
        <f t="array" ref="BF10">IF(ItineraryPrograms!AJ10="y",getScoreFactor("Program",BF$2),"")</f>
        <v>220.5</v>
      </c>
      <c r="BG10" s="343" t="str" cm="1">
        <f t="array" ref="BG10">IF(ItineraryPrograms!AK10="y",getScoreFactor("Program",BG$2),"")</f>
        <v/>
      </c>
      <c r="BH10" s="343" cm="1">
        <f t="array" ref="BH10">IF(ItineraryPrograms!AL10="y",getScoreFactor("Program",BH$2),"")</f>
        <v>255</v>
      </c>
      <c r="BI10" s="343" t="str" cm="1">
        <f t="array" ref="BI10">IF(ItineraryPrograms!AM10="y",getScoreFactor("Program",BI$2),"")</f>
        <v/>
      </c>
      <c r="BJ10" s="343" t="str" cm="1">
        <f t="array" ref="BJ10">IF(ItineraryPrograms!AN10="y",getScoreFactor("Program",BJ$2),"")</f>
        <v/>
      </c>
      <c r="BK10" s="343" cm="1">
        <f t="array" ref="BK10">IF(ItineraryPrograms!AO10="y",getScoreFactor("Program",BK$2),"")</f>
        <v>181.5</v>
      </c>
      <c r="BL10" s="343" cm="1">
        <f t="array" ref="BL10">IF(ItineraryPrograms!AP10="y",getScoreFactor("Program",BL$2),"")</f>
        <v>220.5</v>
      </c>
      <c r="BM10" s="343" t="str" cm="1">
        <f t="array" ref="BM10">IF(ItineraryPrograms!AQ10="y",getScoreFactor("Program",BM$2),"")</f>
        <v/>
      </c>
      <c r="BN10" s="343" t="str" cm="1">
        <f t="array" ref="BN10">IF(ItineraryPrograms!AR10="y",getScoreFactor("Program",BN$2),"")</f>
        <v/>
      </c>
      <c r="BO10" s="343" t="str" cm="1">
        <f t="array" ref="BO10">IF(ItineraryPrograms!AS10="y",getScoreFactor("Program",BO$2),"")</f>
        <v/>
      </c>
      <c r="BP10" s="343" t="str" cm="1">
        <f t="array" ref="BP10">IF(ItineraryPrograms!AT10="y",getScoreFactor("Program",BP$2),"")</f>
        <v/>
      </c>
      <c r="BQ10" s="343" t="str" cm="1">
        <f t="array" ref="BQ10">IF(ItineraryPrograms!AU10="y",getScoreFactor("Program",BQ$2),"")</f>
        <v/>
      </c>
      <c r="BR10" s="343" t="str" cm="1">
        <f t="array" ref="BR10">IF(ItineraryPrograms!AV10="y",getScoreFactor("Program",BR$2),"")</f>
        <v/>
      </c>
      <c r="BS10" s="343" t="str" cm="1">
        <f t="array" ref="BS10">IF(ItineraryPrograms!AW10="y",getScoreFactor("Program",BS$2),"")</f>
        <v/>
      </c>
      <c r="BT10" s="343" t="str" cm="1">
        <f t="array" ref="BT10">IF(ItineraryPrograms!AX10="y",getScoreFactor("Program",BT$2),"")</f>
        <v/>
      </c>
      <c r="BU10" s="343" t="str" cm="1">
        <f t="array" ref="BU10">IF(ItineraryPrograms!AY10="y",getScoreFactor("Program",BU$2),"")</f>
        <v/>
      </c>
      <c r="BV10" s="343" t="str" cm="1">
        <f t="array" ref="BV10">IF(ItineraryPrograms!AZ10="y",getScoreFactor("Program",BV$2),"")</f>
        <v/>
      </c>
      <c r="BW10" s="343" t="str" cm="1">
        <f t="array" ref="BW10">IF(ItineraryPrograms!BA10="y",getScoreFactor("Program",BW$2),"")</f>
        <v/>
      </c>
      <c r="BX10" s="343" t="str" cm="1">
        <f t="array" ref="BX10">IF(ItineraryPrograms!BB10="y",getScoreFactor("Program",BX$2),"")</f>
        <v/>
      </c>
      <c r="BY10" s="343" cm="1">
        <f t="array" ref="BY10">IF(ItineraryPrograms!BC10="y",getScoreFactor("Program",BY$2),"")</f>
        <v>133.5</v>
      </c>
      <c r="BZ10" s="343" cm="1">
        <f t="array" ref="BZ10">IF(ItineraryPrograms!BD10="y",getScoreFactor("Program",BZ$2),"")</f>
        <v>285</v>
      </c>
      <c r="CA10" s="343" t="e" cm="1">
        <f t="array" ref="CA10">IF(ItineraryPrograms!BE10="y",getScoreFactor("Program",CA$2),"")</f>
        <v>#VALUE!</v>
      </c>
      <c r="CB10" s="984" t="str" cm="1">
        <f t="array" ref="CB10">IF(ItineraryPrograms!BF10="y",getScoreFactor("Program",CB$2),"")</f>
        <v/>
      </c>
    </row>
    <row r="11" spans="1:80" x14ac:dyDescent="0.2">
      <c r="A11" s="185" t="str">
        <f>Itineraries!A11</f>
        <v>9-9</v>
      </c>
      <c r="B11" s="365">
        <f t="shared" si="16"/>
        <v>11007.083333333332</v>
      </c>
      <c r="C11" s="348" cm="1">
        <f t="array" ref="C11">getScoreFactor(C$2,itineraryCamps!C12)</f>
        <v>2833.333333333333</v>
      </c>
      <c r="D11" s="341" cm="1">
        <f t="array" ref="D11">getScoreFactor(D$2,"Miles") *itineraryCamps!D12</f>
        <v>4200</v>
      </c>
      <c r="E11" s="580" cm="1">
        <f t="array" ref="E11">getScoreFactor(E$2,Itineraries!B11)</f>
        <v>40</v>
      </c>
      <c r="F11" s="580" cm="1">
        <f t="array" ref="F11">getScoreFactor(F$2,Itineraries!C11)</f>
        <v>80</v>
      </c>
      <c r="G11" s="349" cm="1">
        <f t="array" ref="G11">getScoreFactor(G$2,Itineraries!E11)</f>
        <v>50</v>
      </c>
      <c r="H11" s="349" cm="1">
        <f t="array" ref="H11">getScoreFactor(H$2,Itineraries!H11)</f>
        <v>250</v>
      </c>
      <c r="I11" s="349" cm="1">
        <f t="array" ref="I11">getScoreFactor(I$2,Itineraries!G11)</f>
        <v>75</v>
      </c>
      <c r="J11" s="587" cm="1">
        <f t="array" ref="J11">getScoreFactor(J$2,Itineraries!J11)</f>
        <v>110</v>
      </c>
      <c r="K11" s="587" cm="1">
        <f t="array" ref="K11">getScoreFactor(K$2,Itineraries!K11)</f>
        <v>90</v>
      </c>
      <c r="L11" s="588" cm="1">
        <f t="array" ref="L11">getScoreFactor(L$2,Itineraries!L11)</f>
        <v>0</v>
      </c>
      <c r="M11" s="259" cm="1">
        <f t="array" ref="M11">IF(INDEX(startingTA,numericItinerary($A11))=$M$2,getScoreFactor(M$2,"y"),getScoreFactor(M$2,"n"))</f>
        <v>0</v>
      </c>
      <c r="N11" s="575" cm="1">
        <f t="array" ref="N11">IF(INDEX(endingTA,numericItinerary($A11))=$N$2,getScoreFactor(N$2,"y"),getScoreFactor(N$2,"n"))</f>
        <v>0</v>
      </c>
      <c r="O11" s="1064" t="str" cm="1">
        <f t="array" ref="O11">IF(INDEX(baldyMountainHike,numericItinerary($A11))="","",getPeakScore(O$2))</f>
        <v/>
      </c>
      <c r="P11" s="725" cm="1">
        <f t="array" ref="P11">IF(INDEX(mountPhillipsHike,numericItinerary($A11))="","",getPeakScore(P$2))</f>
        <v>231.75</v>
      </c>
      <c r="Q11" s="725" t="str" cm="1">
        <f t="array" ref="Q11">IF(INDEX(toothOfTimeHike,numericItinerary($A11))="","",getPeakScore(Q$2))</f>
        <v/>
      </c>
      <c r="R11" s="725" t="str" cm="1">
        <f t="array" ref="R11">IF(INDEX(inspirationPointHike,numericItinerary($A11))="","",getPeakScore(Q$2))</f>
        <v/>
      </c>
      <c r="S11" s="725" t="str" cm="1">
        <f t="array" ref="S11">IF(INDEX(trailPeakHike,numericItinerary($A11))="","",getPeakScore(S$2))</f>
        <v/>
      </c>
      <c r="T11" s="725" cm="1">
        <f t="array" ref="T11">IF(INDEX(mountaineeringHike,numericItinerary($A11))="","",getPeakScore(T$2))</f>
        <v>189</v>
      </c>
      <c r="U11" s="342" cm="1">
        <f t="array" ref="U11">IF(areaImportant&lt;&gt;"y","",IF(Itineraries!P11&lt;&gt;"Y","",getareascore(U$2)))</f>
        <v>200</v>
      </c>
      <c r="V11" s="342" cm="1">
        <f t="array" ref="V11">IF(areaImportant&lt;&gt;"y","",IF(Itineraries!Q11&lt;&gt;"Y","",getareascore(V$2)))</f>
        <v>150</v>
      </c>
      <c r="W11" s="342" t="str" cm="1">
        <f t="array" ref="W11">IF(areaImportant&lt;&gt;"y","",IF(Itineraries!R11&lt;&gt;"Y","",getareascore(W$2)))</f>
        <v/>
      </c>
      <c r="X11" s="1065" t="str" cm="1">
        <f t="array" ref="X11">IF(areaImportant&lt;&gt;"y","",IF(Itineraries!S11&lt;&gt;"Y","",getareascore(X$2)))</f>
        <v/>
      </c>
      <c r="Y11" s="1058" t="str" cm="1">
        <f t="array" ref="Y11">IF(ItineraryPrograms!C11="y",getScoreFactor("Program",Y$2),"")</f>
        <v/>
      </c>
      <c r="Z11" s="343" t="str" cm="1">
        <f t="array" ref="Z11">IF(ItineraryPrograms!D11="y",getScoreFactor("Program",Z$2),"")</f>
        <v/>
      </c>
      <c r="AA11" s="343" t="str" cm="1">
        <f t="array" ref="AA11">IF(ItineraryPrograms!E11="y",getScoreFactor("Program",AA$2),"")</f>
        <v/>
      </c>
      <c r="AB11" s="343" t="str" cm="1">
        <f t="array" ref="AB11">IF(ItineraryPrograms!F11="y",getScoreFactor("Program",AB$2),"")</f>
        <v/>
      </c>
      <c r="AC11" s="343" t="str" cm="1">
        <f t="array" ref="AC11">IF(ItineraryPrograms!G11="y",getScoreFactor("Program",AC$2),"")</f>
        <v/>
      </c>
      <c r="AD11" s="343" t="str" cm="1">
        <f t="array" ref="AD11">IF(ItineraryPrograms!H11="y",getScoreFactor("Program",AD$2),"")</f>
        <v/>
      </c>
      <c r="AE11" s="343" t="str" cm="1">
        <f t="array" ref="AE11">IF(ItineraryPrograms!I11="y",getScoreFactor("Program",AE$2),"")</f>
        <v/>
      </c>
      <c r="AF11" s="343" cm="1">
        <f t="array" ref="AF11">IF(ItineraryPrograms!J11="y",getScoreFactor("Program",AF$2),"")</f>
        <v>126</v>
      </c>
      <c r="AG11" s="343" cm="1">
        <f t="array" ref="AG11">IF(ItineraryPrograms!K11="y",getScoreFactor("Program",AG$2),"")</f>
        <v>130.5</v>
      </c>
      <c r="AH11" s="343" t="str" cm="1">
        <f t="array" ref="AH11">IF(ItineraryPrograms!L11="y",getScoreFactor("Program",AH$2),"")</f>
        <v/>
      </c>
      <c r="AI11" s="343" cm="1">
        <f t="array" ref="AI11">IF(ItineraryPrograms!M11="y",getScoreFactor("Program",AI$2),"")</f>
        <v>109.5</v>
      </c>
      <c r="AJ11" s="343" cm="1">
        <f t="array" ref="AJ11">IF(ItineraryPrograms!N11="y",getScoreFactor("Program",AJ$2),"")</f>
        <v>109.5</v>
      </c>
      <c r="AK11" s="343" cm="1">
        <f t="array" ref="AK11">IF(ItineraryPrograms!O11="y",getScoreFactor("Program",AK$2),"")</f>
        <v>111</v>
      </c>
      <c r="AL11" s="343" cm="1">
        <f t="array" ref="AL11">IF(ItineraryPrograms!P11="y",getScoreFactor("Program",AL$2),"")</f>
        <v>114</v>
      </c>
      <c r="AM11" s="343" cm="1">
        <f t="array" ref="AM11">IF(ItineraryPrograms!Q11="y",getScoreFactor("Program",AM$2),"")</f>
        <v>123</v>
      </c>
      <c r="AN11" s="343" cm="1">
        <f t="array" ref="AN11">IF(ItineraryPrograms!R11="y",getScoreFactor("Program",AN$2),"")</f>
        <v>126</v>
      </c>
      <c r="AO11" s="343" cm="1">
        <f t="array" ref="AO11">IF(ItineraryPrograms!S11="y",getScoreFactor("Program",AO$2),"")</f>
        <v>106.5</v>
      </c>
      <c r="AP11" s="343" cm="1">
        <f t="array" ref="AP11">IF(ItineraryPrograms!T11="y",getScoreFactor("Program",AP$2),"")</f>
        <v>145.5</v>
      </c>
      <c r="AQ11" s="343" t="str" cm="1">
        <f t="array" ref="AQ11">IF(ItineraryPrograms!U11="y",getScoreFactor("Program",AQ$2),"")</f>
        <v/>
      </c>
      <c r="AR11" s="343" t="str" cm="1">
        <f t="array" ref="AR11">IF(ItineraryPrograms!V11="y",getScoreFactor("Program",AR$2),"")</f>
        <v/>
      </c>
      <c r="AS11" s="343" t="str" cm="1">
        <f t="array" ref="AS11">IF(ItineraryPrograms!W11="y",getScoreFactor("Program",AS$2),"")</f>
        <v/>
      </c>
      <c r="AT11" s="343" cm="1">
        <f t="array" ref="AT11">IF(ItineraryPrograms!X11="y",getScoreFactor("Program",AT$2),"")</f>
        <v>129</v>
      </c>
      <c r="AU11" s="343" cm="1">
        <f t="array" ref="AU11">IF(ItineraryPrograms!Y11="y",getScoreFactor("Program",AU$2),"")</f>
        <v>103.5</v>
      </c>
      <c r="AV11" s="343" t="str" cm="1">
        <f t="array" ref="AV11">IF(ItineraryPrograms!Z11="y",getScoreFactor("Program",AV$2),"")</f>
        <v/>
      </c>
      <c r="AW11" s="343" t="str" cm="1">
        <f t="array" ref="AW11">IF(ItineraryPrograms!AA11="y",getScoreFactor("Program",AW$2),"")</f>
        <v/>
      </c>
      <c r="AX11" s="343" t="str" cm="1">
        <f t="array" ref="AX11">IF(ItineraryPrograms!AB11="y",getScoreFactor("Program",AX$2),"")</f>
        <v/>
      </c>
      <c r="AY11" s="343" t="str" cm="1">
        <f t="array" ref="AY11">IF(ItineraryPrograms!AC11="y",getScoreFactor("Program",AY$2),"")</f>
        <v/>
      </c>
      <c r="AZ11" s="343" t="str" cm="1">
        <f t="array" ref="AZ11">IF(ItineraryPrograms!AD11="y",getScoreFactor("Program",AZ$2),"")</f>
        <v/>
      </c>
      <c r="BA11" s="343" t="str" cm="1">
        <f t="array" ref="BA11">IF(ItineraryPrograms!AE11="y",getScoreFactor("Program",BA$2),"")</f>
        <v/>
      </c>
      <c r="BB11" s="343" cm="1">
        <f t="array" ref="BB11">IF(ItineraryPrograms!AF11="y",getScoreFactor("Program",BB$2),"")</f>
        <v>189</v>
      </c>
      <c r="BC11" s="343" cm="1">
        <f t="array" ref="BC11">IF(ItineraryPrograms!AG11="y",getScoreFactor("Program",BC$2),"")</f>
        <v>202.5</v>
      </c>
      <c r="BD11" s="343" t="str" cm="1">
        <f t="array" ref="BD11">IF(ItineraryPrograms!AH11="y",getScoreFactor("Program",BD$2),"")</f>
        <v/>
      </c>
      <c r="BE11" s="343" t="str" cm="1">
        <f t="array" ref="BE11">IF(ItineraryPrograms!AI11="y",getScoreFactor("Program",BE$2),"")</f>
        <v/>
      </c>
      <c r="BF11" s="343" cm="1">
        <f t="array" ref="BF11">IF(ItineraryPrograms!AJ11="y",getScoreFactor("Program",BF$2),"")</f>
        <v>220.5</v>
      </c>
      <c r="BG11" s="343" t="str" cm="1">
        <f t="array" ref="BG11">IF(ItineraryPrograms!AK11="y",getScoreFactor("Program",BG$2),"")</f>
        <v/>
      </c>
      <c r="BH11" s="343" cm="1">
        <f t="array" ref="BH11">IF(ItineraryPrograms!AL11="y",getScoreFactor("Program",BH$2),"")</f>
        <v>255</v>
      </c>
      <c r="BI11" s="343" t="str" cm="1">
        <f t="array" ref="BI11">IF(ItineraryPrograms!AM11="y",getScoreFactor("Program",BI$2),"")</f>
        <v/>
      </c>
      <c r="BJ11" s="343" t="str" cm="1">
        <f t="array" ref="BJ11">IF(ItineraryPrograms!AN11="y",getScoreFactor("Program",BJ$2),"")</f>
        <v/>
      </c>
      <c r="BK11" s="343" t="str" cm="1">
        <f t="array" ref="BK11">IF(ItineraryPrograms!AO11="y",getScoreFactor("Program",BK$2),"")</f>
        <v/>
      </c>
      <c r="BL11" s="343" t="str" cm="1">
        <f t="array" ref="BL11">IF(ItineraryPrograms!AP11="y",getScoreFactor("Program",BL$2),"")</f>
        <v/>
      </c>
      <c r="BM11" s="343" t="str" cm="1">
        <f t="array" ref="BM11">IF(ItineraryPrograms!AQ11="y",getScoreFactor("Program",BM$2),"")</f>
        <v/>
      </c>
      <c r="BN11" s="343" t="str" cm="1">
        <f t="array" ref="BN11">IF(ItineraryPrograms!AR11="y",getScoreFactor("Program",BN$2),"")</f>
        <v/>
      </c>
      <c r="BO11" s="343" t="str" cm="1">
        <f t="array" ref="BO11">IF(ItineraryPrograms!AS11="y",getScoreFactor("Program",BO$2),"")</f>
        <v/>
      </c>
      <c r="BP11" s="343" t="str" cm="1">
        <f t="array" ref="BP11">IF(ItineraryPrograms!AT11="y",getScoreFactor("Program",BP$2),"")</f>
        <v/>
      </c>
      <c r="BQ11" s="343" t="str" cm="1">
        <f t="array" ref="BQ11">IF(ItineraryPrograms!AU11="y",getScoreFactor("Program",BQ$2),"")</f>
        <v/>
      </c>
      <c r="BR11" s="343" t="str" cm="1">
        <f t="array" ref="BR11">IF(ItineraryPrograms!AV11="y",getScoreFactor("Program",BR$2),"")</f>
        <v/>
      </c>
      <c r="BS11" s="343" t="str" cm="1">
        <f t="array" ref="BS11">IF(ItineraryPrograms!AW11="y",getScoreFactor("Program",BS$2),"")</f>
        <v/>
      </c>
      <c r="BT11" s="343" t="str" cm="1">
        <f t="array" ref="BT11">IF(ItineraryPrograms!AX11="y",getScoreFactor("Program",BT$2),"")</f>
        <v/>
      </c>
      <c r="BU11" s="343" cm="1">
        <f t="array" ref="BU11">IF(ItineraryPrograms!AY11="y",getScoreFactor("Program",BU$2),"")</f>
        <v>207</v>
      </c>
      <c r="BV11" s="343" t="str" cm="1">
        <f t="array" ref="BV11">IF(ItineraryPrograms!AZ11="y",getScoreFactor("Program",BV$2),"")</f>
        <v/>
      </c>
      <c r="BW11" s="343" t="str" cm="1">
        <f t="array" ref="BW11">IF(ItineraryPrograms!BA11="y",getScoreFactor("Program",BW$2),"")</f>
        <v/>
      </c>
      <c r="BX11" s="343" cm="1">
        <f t="array" ref="BX11">IF(ItineraryPrograms!BB11="y",getScoreFactor("Program",BX$2),"")</f>
        <v>235.5</v>
      </c>
      <c r="BY11" s="343" cm="1">
        <f t="array" ref="BY11">IF(ItineraryPrograms!BC11="y",getScoreFactor("Program",BY$2),"")</f>
        <v>133.5</v>
      </c>
      <c r="BZ11" s="343" cm="1">
        <f t="array" ref="BZ11">IF(ItineraryPrograms!BD11="y",getScoreFactor("Program",BZ$2),"")</f>
        <v>285</v>
      </c>
      <c r="CA11" s="343" t="e" cm="1">
        <f t="array" ref="CA11">IF(ItineraryPrograms!BE11="y",getScoreFactor("Program",CA$2),"")</f>
        <v>#VALUE!</v>
      </c>
      <c r="CB11" s="984" t="str" cm="1">
        <f t="array" ref="CB11">IF(ItineraryPrograms!BF11="y",getScoreFactor("Program",CB$2),"")</f>
        <v/>
      </c>
    </row>
    <row r="12" spans="1:80" x14ac:dyDescent="0.2">
      <c r="A12" s="185" t="str">
        <f>Itineraries!A12</f>
        <v>9-10</v>
      </c>
      <c r="B12" s="365">
        <f t="shared" si="16"/>
        <v>12817</v>
      </c>
      <c r="C12" s="348" cm="1">
        <f t="array" ref="C12">getScoreFactor(C$2,itineraryCamps!C13)</f>
        <v>3000</v>
      </c>
      <c r="D12" s="341" cm="1">
        <f t="array" ref="D12">getScoreFactor(D$2,"Miles") *itineraryCamps!D13</f>
        <v>5300</v>
      </c>
      <c r="E12" s="580" cm="1">
        <f t="array" ref="E12">getScoreFactor(E$2,Itineraries!B12)</f>
        <v>30</v>
      </c>
      <c r="F12" s="580" cm="1">
        <f t="array" ref="F12">getScoreFactor(F$2,Itineraries!C12)</f>
        <v>90</v>
      </c>
      <c r="G12" s="349" cm="1">
        <f t="array" ref="G12">getScoreFactor(G$2,Itineraries!E12)</f>
        <v>50</v>
      </c>
      <c r="H12" s="349" cm="1">
        <f t="array" ref="H12">getScoreFactor(H$2,Itineraries!H12)</f>
        <v>225</v>
      </c>
      <c r="I12" s="349" cm="1">
        <f t="array" ref="I12">getScoreFactor(I$2,Itineraries!G12)</f>
        <v>100</v>
      </c>
      <c r="J12" s="587" cm="1">
        <f t="array" ref="J12">getScoreFactor(J$2,Itineraries!J12)</f>
        <v>80</v>
      </c>
      <c r="K12" s="587" cm="1">
        <f t="array" ref="K12">getScoreFactor(K$2,Itineraries!K12)</f>
        <v>80</v>
      </c>
      <c r="L12" s="588" cm="1">
        <f t="array" ref="L12">getScoreFactor(L$2,Itineraries!L12)</f>
        <v>300</v>
      </c>
      <c r="M12" s="259" cm="1">
        <f t="array" ref="M12">IF(INDEX(startingTA,numericItinerary($A12))=$M$2,getScoreFactor(M$2,"y"),getScoreFactor(M$2,"n"))</f>
        <v>0</v>
      </c>
      <c r="N12" s="575" cm="1">
        <f t="array" ref="N12">IF(INDEX(endingTA,numericItinerary($A12))=$N$2,getScoreFactor(N$2,"y"),getScoreFactor(N$2,"n"))</f>
        <v>0</v>
      </c>
      <c r="O12" s="1064" cm="1">
        <f t="array" ref="O12">IF(INDEX(baldyMountainHike,numericItinerary($A12))="","",getPeakScore(O$2))</f>
        <v>300</v>
      </c>
      <c r="P12" s="725" t="str" cm="1">
        <f t="array" ref="P12">IF(INDEX(mountPhillipsHike,numericItinerary($A12))="","",getPeakScore(P$2))</f>
        <v/>
      </c>
      <c r="Q12" s="725" t="str" cm="1">
        <f t="array" ref="Q12">IF(INDEX(toothOfTimeHike,numericItinerary($A12))="","",getPeakScore(Q$2))</f>
        <v/>
      </c>
      <c r="R12" s="725" t="str" cm="1">
        <f t="array" ref="R12">IF(INDEX(inspirationPointHike,numericItinerary($A12))="","",getPeakScore(Q$2))</f>
        <v/>
      </c>
      <c r="S12" s="725" t="str" cm="1">
        <f t="array" ref="S12">IF(INDEX(trailPeakHike,numericItinerary($A12))="","",getPeakScore(S$2))</f>
        <v/>
      </c>
      <c r="T12" s="725" cm="1">
        <f t="array" ref="T12">IF(INDEX(mountaineeringHike,numericItinerary($A12))="","",getPeakScore(T$2))</f>
        <v>189</v>
      </c>
      <c r="U12" s="342" t="str" cm="1">
        <f t="array" ref="U12">IF(areaImportant&lt;&gt;"y","",IF(Itineraries!P12&lt;&gt;"Y","",getareascore(U$2)))</f>
        <v/>
      </c>
      <c r="V12" s="342" t="str" cm="1">
        <f t="array" ref="V12">IF(areaImportant&lt;&gt;"y","",IF(Itineraries!Q12&lt;&gt;"Y","",getareascore(V$2)))</f>
        <v/>
      </c>
      <c r="W12" s="342" cm="1">
        <f t="array" ref="W12">IF(areaImportant&lt;&gt;"y","",IF(Itineraries!R12&lt;&gt;"Y","",getareascore(W$2)))</f>
        <v>1000</v>
      </c>
      <c r="X12" s="1065" t="str" cm="1">
        <f t="array" ref="X12">IF(areaImportant&lt;&gt;"y","",IF(Itineraries!S12&lt;&gt;"Y","",getareascore(X$2)))</f>
        <v/>
      </c>
      <c r="Y12" s="1058" t="str" cm="1">
        <f t="array" ref="Y12">IF(ItineraryPrograms!C12="y",getScoreFactor("Program",Y$2),"")</f>
        <v/>
      </c>
      <c r="Z12" s="343" t="str" cm="1">
        <f t="array" ref="Z12">IF(ItineraryPrograms!D12="y",getScoreFactor("Program",Z$2),"")</f>
        <v/>
      </c>
      <c r="AA12" s="343" t="str" cm="1">
        <f t="array" ref="AA12">IF(ItineraryPrograms!E12="y",getScoreFactor("Program",AA$2),"")</f>
        <v/>
      </c>
      <c r="AB12" s="343" t="str" cm="1">
        <f t="array" ref="AB12">IF(ItineraryPrograms!F12="y",getScoreFactor("Program",AB$2),"")</f>
        <v/>
      </c>
      <c r="AC12" s="343" t="str" cm="1">
        <f t="array" ref="AC12">IF(ItineraryPrograms!G12="y",getScoreFactor("Program",AC$2),"")</f>
        <v/>
      </c>
      <c r="AD12" s="343" t="str" cm="1">
        <f t="array" ref="AD12">IF(ItineraryPrograms!H12="y",getScoreFactor("Program",AD$2),"")</f>
        <v/>
      </c>
      <c r="AE12" s="343" t="str" cm="1">
        <f t="array" ref="AE12">IF(ItineraryPrograms!I12="y",getScoreFactor("Program",AE$2),"")</f>
        <v/>
      </c>
      <c r="AF12" s="343" t="str" cm="1">
        <f t="array" ref="AF12">IF(ItineraryPrograms!J12="y",getScoreFactor("Program",AF$2),"")</f>
        <v/>
      </c>
      <c r="AG12" s="343" t="str" cm="1">
        <f t="array" ref="AG12">IF(ItineraryPrograms!K12="y",getScoreFactor("Program",AG$2),"")</f>
        <v/>
      </c>
      <c r="AH12" s="343" t="str" cm="1">
        <f t="array" ref="AH12">IF(ItineraryPrograms!L12="y",getScoreFactor("Program",AH$2),"")</f>
        <v/>
      </c>
      <c r="AI12" s="343" cm="1">
        <f t="array" ref="AI12">IF(ItineraryPrograms!M12="y",getScoreFactor("Program",AI$2),"")</f>
        <v>109.5</v>
      </c>
      <c r="AJ12" s="343" cm="1">
        <f t="array" ref="AJ12">IF(ItineraryPrograms!N12="y",getScoreFactor("Program",AJ$2),"")</f>
        <v>109.5</v>
      </c>
      <c r="AK12" s="343" t="str" cm="1">
        <f t="array" ref="AK12">IF(ItineraryPrograms!O12="y",getScoreFactor("Program",AK$2),"")</f>
        <v/>
      </c>
      <c r="AL12" s="343" t="str" cm="1">
        <f t="array" ref="AL12">IF(ItineraryPrograms!P12="y",getScoreFactor("Program",AL$2),"")</f>
        <v/>
      </c>
      <c r="AM12" s="343" cm="1">
        <f t="array" ref="AM12">IF(ItineraryPrograms!Q12="y",getScoreFactor("Program",AM$2),"")</f>
        <v>123</v>
      </c>
      <c r="AN12" s="343" t="str" cm="1">
        <f t="array" ref="AN12">IF(ItineraryPrograms!R12="y",getScoreFactor("Program",AN$2),"")</f>
        <v/>
      </c>
      <c r="AO12" s="343" t="str" cm="1">
        <f t="array" ref="AO12">IF(ItineraryPrograms!S12="y",getScoreFactor("Program",AO$2),"")</f>
        <v/>
      </c>
      <c r="AP12" s="343" t="str" cm="1">
        <f t="array" ref="AP12">IF(ItineraryPrograms!T12="y",getScoreFactor("Program",AP$2),"")</f>
        <v/>
      </c>
      <c r="AQ12" s="343" cm="1">
        <f t="array" ref="AQ12">IF(ItineraryPrograms!U12="y",getScoreFactor("Program",AQ$2),"")</f>
        <v>93</v>
      </c>
      <c r="AR12" s="343" t="str" cm="1">
        <f t="array" ref="AR12">IF(ItineraryPrograms!V12="y",getScoreFactor("Program",AR$2),"")</f>
        <v/>
      </c>
      <c r="AS12" s="343" cm="1">
        <f t="array" ref="AS12">IF(ItineraryPrograms!W12="y",getScoreFactor("Program",AS$2),"")</f>
        <v>114</v>
      </c>
      <c r="AT12" s="343" cm="1">
        <f t="array" ref="AT12">IF(ItineraryPrograms!X12="y",getScoreFactor("Program",AT$2),"")</f>
        <v>129</v>
      </c>
      <c r="AU12" s="343" t="str" cm="1">
        <f t="array" ref="AU12">IF(ItineraryPrograms!Y12="y",getScoreFactor("Program",AU$2),"")</f>
        <v/>
      </c>
      <c r="AV12" s="343" cm="1">
        <f t="array" ref="AV12">IF(ItineraryPrograms!Z12="y",getScoreFactor("Program",AV$2),"")</f>
        <v>162</v>
      </c>
      <c r="AW12" s="343" cm="1">
        <f t="array" ref="AW12">IF(ItineraryPrograms!AA12="y",getScoreFactor("Program",AW$2),"")</f>
        <v>201</v>
      </c>
      <c r="AX12" s="343" cm="1">
        <f t="array" ref="AX12">IF(ItineraryPrograms!AB12="y",getScoreFactor("Program",AX$2),"")</f>
        <v>145.5</v>
      </c>
      <c r="AY12" s="343" cm="1">
        <f t="array" ref="AY12">IF(ItineraryPrograms!AC12="y",getScoreFactor("Program",AY$2),"")</f>
        <v>150</v>
      </c>
      <c r="AZ12" s="343" cm="1">
        <f t="array" ref="AZ12">IF(ItineraryPrograms!AD12="y",getScoreFactor("Program",AZ$2),"")</f>
        <v>175.5</v>
      </c>
      <c r="BA12" s="343" t="str" cm="1">
        <f t="array" ref="BA12">IF(ItineraryPrograms!AE12="y",getScoreFactor("Program",BA$2),"")</f>
        <v/>
      </c>
      <c r="BB12" s="343" t="str" cm="1">
        <f t="array" ref="BB12">IF(ItineraryPrograms!AF12="y",getScoreFactor("Program",BB$2),"")</f>
        <v/>
      </c>
      <c r="BC12" s="343" cm="1">
        <f t="array" ref="BC12">IF(ItineraryPrograms!AG12="y",getScoreFactor("Program",BC$2),"")</f>
        <v>202.5</v>
      </c>
      <c r="BD12" s="343" t="str" cm="1">
        <f t="array" ref="BD12">IF(ItineraryPrograms!AH12="y",getScoreFactor("Program",BD$2),"")</f>
        <v/>
      </c>
      <c r="BE12" s="343" t="str" cm="1">
        <f t="array" ref="BE12">IF(ItineraryPrograms!AI12="y",getScoreFactor("Program",BE$2),"")</f>
        <v/>
      </c>
      <c r="BF12" s="343" t="str" cm="1">
        <f t="array" ref="BF12">IF(ItineraryPrograms!AJ12="y",getScoreFactor("Program",BF$2),"")</f>
        <v/>
      </c>
      <c r="BG12" s="343" t="str" cm="1">
        <f t="array" ref="BG12">IF(ItineraryPrograms!AK12="y",getScoreFactor("Program",BG$2),"")</f>
        <v/>
      </c>
      <c r="BH12" s="343" t="str" cm="1">
        <f t="array" ref="BH12">IF(ItineraryPrograms!AL12="y",getScoreFactor("Program",BH$2),"")</f>
        <v/>
      </c>
      <c r="BI12" s="343" t="str" cm="1">
        <f t="array" ref="BI12">IF(ItineraryPrograms!AM12="y",getScoreFactor("Program",BI$2),"")</f>
        <v/>
      </c>
      <c r="BJ12" s="343" t="str" cm="1">
        <f t="array" ref="BJ12">IF(ItineraryPrograms!AN12="y",getScoreFactor("Program",BJ$2),"")</f>
        <v/>
      </c>
      <c r="BK12" s="343" t="str" cm="1">
        <f t="array" ref="BK12">IF(ItineraryPrograms!AO12="y",getScoreFactor("Program",BK$2),"")</f>
        <v/>
      </c>
      <c r="BL12" s="343" t="str" cm="1">
        <f t="array" ref="BL12">IF(ItineraryPrograms!AP12="y",getScoreFactor("Program",BL$2),"")</f>
        <v/>
      </c>
      <c r="BM12" s="343" t="str" cm="1">
        <f t="array" ref="BM12">IF(ItineraryPrograms!AQ12="y",getScoreFactor("Program",BM$2),"")</f>
        <v/>
      </c>
      <c r="BN12" s="343" t="str" cm="1">
        <f t="array" ref="BN12">IF(ItineraryPrograms!AR12="y",getScoreFactor("Program",BN$2),"")</f>
        <v/>
      </c>
      <c r="BO12" s="343" t="str" cm="1">
        <f t="array" ref="BO12">IF(ItineraryPrograms!AS12="y",getScoreFactor("Program",BO$2),"")</f>
        <v/>
      </c>
      <c r="BP12" s="343" t="str" cm="1">
        <f t="array" ref="BP12">IF(ItineraryPrograms!AT12="y",getScoreFactor("Program",BP$2),"")</f>
        <v/>
      </c>
      <c r="BQ12" s="343" cm="1">
        <f t="array" ref="BQ12">IF(ItineraryPrograms!AU12="y",getScoreFactor("Program",BQ$2),"")</f>
        <v>151.5</v>
      </c>
      <c r="BR12" s="343" t="str" cm="1">
        <f t="array" ref="BR12">IF(ItineraryPrograms!AV12="y",getScoreFactor("Program",BR$2),"")</f>
        <v/>
      </c>
      <c r="BS12" s="343" t="str" cm="1">
        <f t="array" ref="BS12">IF(ItineraryPrograms!AW12="y",getScoreFactor("Program",BS$2),"")</f>
        <v/>
      </c>
      <c r="BT12" s="343" t="str" cm="1">
        <f t="array" ref="BT12">IF(ItineraryPrograms!AX12="y",getScoreFactor("Program",BT$2),"")</f>
        <v/>
      </c>
      <c r="BU12" s="343" cm="1">
        <f t="array" ref="BU12">IF(ItineraryPrograms!AY12="y",getScoreFactor("Program",BU$2),"")</f>
        <v>207</v>
      </c>
      <c r="BV12" s="343" cm="1">
        <f t="array" ref="BV12">IF(ItineraryPrograms!AZ12="y",getScoreFactor("Program",BV$2),"")</f>
        <v>207</v>
      </c>
      <c r="BW12" s="343" t="str" cm="1">
        <f t="array" ref="BW12">IF(ItineraryPrograms!BA12="y",getScoreFactor("Program",BW$2),"")</f>
        <v/>
      </c>
      <c r="BX12" s="343" cm="1">
        <f t="array" ref="BX12">IF(ItineraryPrograms!BB12="y",getScoreFactor("Program",BX$2),"")</f>
        <v>235.5</v>
      </c>
      <c r="BY12" s="343" cm="1">
        <f t="array" ref="BY12">IF(ItineraryPrograms!BC12="y",getScoreFactor("Program",BY$2),"")</f>
        <v>133.5</v>
      </c>
      <c r="BZ12" s="343" cm="1">
        <f t="array" ref="BZ12">IF(ItineraryPrograms!BD12="y",getScoreFactor("Program",BZ$2),"")</f>
        <v>285</v>
      </c>
      <c r="CA12" s="343" t="e" cm="1">
        <f t="array" ref="CA12">IF(ItineraryPrograms!BE12="y",getScoreFactor("Program",CA$2),"")</f>
        <v>#VALUE!</v>
      </c>
      <c r="CB12" s="984" t="str" cm="1">
        <f t="array" ref="CB12">IF(ItineraryPrograms!BF12="y",getScoreFactor("Program",CB$2),"")</f>
        <v/>
      </c>
    </row>
    <row r="13" spans="1:80" x14ac:dyDescent="0.2">
      <c r="A13" s="185" t="str">
        <f>Itineraries!A13</f>
        <v>9-11</v>
      </c>
      <c r="B13" s="365">
        <f t="shared" si="16"/>
        <v>13599.5</v>
      </c>
      <c r="C13" s="348" cm="1">
        <f t="array" ref="C13">getScoreFactor(C$2,itineraryCamps!C14)</f>
        <v>3000</v>
      </c>
      <c r="D13" s="341" cm="1">
        <f t="array" ref="D13">getScoreFactor(D$2,"Miles") *itineraryCamps!D14</f>
        <v>5300</v>
      </c>
      <c r="E13" s="580" cm="1">
        <f t="array" ref="E13">getScoreFactor(E$2,Itineraries!B13)</f>
        <v>30</v>
      </c>
      <c r="F13" s="580" cm="1">
        <f t="array" ref="F13">getScoreFactor(F$2,Itineraries!C13)</f>
        <v>90</v>
      </c>
      <c r="G13" s="349" cm="1">
        <f t="array" ref="G13">getScoreFactor(G$2,Itineraries!E13)</f>
        <v>0</v>
      </c>
      <c r="H13" s="349" cm="1">
        <f t="array" ref="H13">getScoreFactor(H$2,Itineraries!H13)</f>
        <v>300</v>
      </c>
      <c r="I13" s="349" cm="1">
        <f t="array" ref="I13">getScoreFactor(I$2,Itineraries!G13)</f>
        <v>100</v>
      </c>
      <c r="J13" s="587" cm="1">
        <f t="array" ref="J13">getScoreFactor(J$2,Itineraries!J13)</f>
        <v>80</v>
      </c>
      <c r="K13" s="587" cm="1">
        <f t="array" ref="K13">getScoreFactor(K$2,Itineraries!K13)</f>
        <v>80</v>
      </c>
      <c r="L13" s="588" cm="1">
        <f t="array" ref="L13">getScoreFactor(L$2,Itineraries!L13)</f>
        <v>300</v>
      </c>
      <c r="M13" s="259" cm="1">
        <f t="array" ref="M13">IF(INDEX(startingTA,numericItinerary($A13))=$M$2,getScoreFactor(M$2,"y"),getScoreFactor(M$2,"n"))</f>
        <v>0</v>
      </c>
      <c r="N13" s="575" cm="1">
        <f t="array" ref="N13">IF(INDEX(endingTA,numericItinerary($A13))=$N$2,getScoreFactor(N$2,"y"),getScoreFactor(N$2,"n"))</f>
        <v>0</v>
      </c>
      <c r="O13" s="1064" cm="1">
        <f t="array" ref="O13">IF(INDEX(baldyMountainHike,numericItinerary($A13))="","",getPeakScore(O$2))</f>
        <v>300</v>
      </c>
      <c r="P13" s="725" t="str" cm="1">
        <f t="array" ref="P13">IF(INDEX(mountPhillipsHike,numericItinerary($A13))="","",getPeakScore(P$2))</f>
        <v/>
      </c>
      <c r="Q13" s="725" t="str" cm="1">
        <f t="array" ref="Q13">IF(INDEX(toothOfTimeHike,numericItinerary($A13))="","",getPeakScore(Q$2))</f>
        <v/>
      </c>
      <c r="R13" s="725" t="str" cm="1">
        <f t="array" ref="R13">IF(INDEX(inspirationPointHike,numericItinerary($A13))="","",getPeakScore(Q$2))</f>
        <v/>
      </c>
      <c r="S13" s="725" t="str" cm="1">
        <f t="array" ref="S13">IF(INDEX(trailPeakHike,numericItinerary($A13))="","",getPeakScore(S$2))</f>
        <v/>
      </c>
      <c r="T13" s="725" t="str" cm="1">
        <f t="array" ref="T13">IF(INDEX(mountaineeringHike,numericItinerary($A13))="","",getPeakScore(T$2))</f>
        <v/>
      </c>
      <c r="U13" s="342" t="str" cm="1">
        <f t="array" ref="U13">IF(areaImportant&lt;&gt;"y","",IF(Itineraries!P13&lt;&gt;"Y","",getareascore(U$2)))</f>
        <v/>
      </c>
      <c r="V13" s="342" t="str" cm="1">
        <f t="array" ref="V13">IF(areaImportant&lt;&gt;"y","",IF(Itineraries!Q13&lt;&gt;"Y","",getareascore(V$2)))</f>
        <v/>
      </c>
      <c r="W13" s="342" cm="1">
        <f t="array" ref="W13">IF(areaImportant&lt;&gt;"y","",IF(Itineraries!R13&lt;&gt;"Y","",getareascore(W$2)))</f>
        <v>1000</v>
      </c>
      <c r="X13" s="1065" cm="1">
        <f t="array" ref="X13">IF(areaImportant&lt;&gt;"y","",IF(Itineraries!S13&lt;&gt;"Y","",getareascore(X$2)))</f>
        <v>600</v>
      </c>
      <c r="Y13" s="1058" t="str" cm="1">
        <f t="array" ref="Y13">IF(ItineraryPrograms!C13="y",getScoreFactor("Program",Y$2),"")</f>
        <v/>
      </c>
      <c r="Z13" s="343" t="str" cm="1">
        <f t="array" ref="Z13">IF(ItineraryPrograms!D13="y",getScoreFactor("Program",Z$2),"")</f>
        <v/>
      </c>
      <c r="AA13" s="343" t="str" cm="1">
        <f t="array" ref="AA13">IF(ItineraryPrograms!E13="y",getScoreFactor("Program",AA$2),"")</f>
        <v/>
      </c>
      <c r="AB13" s="343" t="str" cm="1">
        <f t="array" ref="AB13">IF(ItineraryPrograms!F13="y",getScoreFactor("Program",AB$2),"")</f>
        <v/>
      </c>
      <c r="AC13" s="343" t="str" cm="1">
        <f t="array" ref="AC13">IF(ItineraryPrograms!G13="y",getScoreFactor("Program",AC$2),"")</f>
        <v/>
      </c>
      <c r="AD13" s="343" t="str" cm="1">
        <f t="array" ref="AD13">IF(ItineraryPrograms!H13="y",getScoreFactor("Program",AD$2),"")</f>
        <v/>
      </c>
      <c r="AE13" s="343" cm="1">
        <f t="array" ref="AE13">IF(ItineraryPrograms!I13="y",getScoreFactor("Program",AE$2),"")</f>
        <v>166.5</v>
      </c>
      <c r="AF13" s="343" t="str" cm="1">
        <f t="array" ref="AF13">IF(ItineraryPrograms!J13="y",getScoreFactor("Program",AF$2),"")</f>
        <v/>
      </c>
      <c r="AG13" s="343" t="str" cm="1">
        <f t="array" ref="AG13">IF(ItineraryPrograms!K13="y",getScoreFactor("Program",AG$2),"")</f>
        <v/>
      </c>
      <c r="AH13" s="343" t="str" cm="1">
        <f t="array" ref="AH13">IF(ItineraryPrograms!L13="y",getScoreFactor("Program",AH$2),"")</f>
        <v/>
      </c>
      <c r="AI13" s="343" cm="1">
        <f t="array" ref="AI13">IF(ItineraryPrograms!M13="y",getScoreFactor("Program",AI$2),"")</f>
        <v>109.5</v>
      </c>
      <c r="AJ13" s="343" cm="1">
        <f t="array" ref="AJ13">IF(ItineraryPrograms!N13="y",getScoreFactor("Program",AJ$2),"")</f>
        <v>109.5</v>
      </c>
      <c r="AK13" s="343" t="str" cm="1">
        <f t="array" ref="AK13">IF(ItineraryPrograms!O13="y",getScoreFactor("Program",AK$2),"")</f>
        <v/>
      </c>
      <c r="AL13" s="343" t="str" cm="1">
        <f t="array" ref="AL13">IF(ItineraryPrograms!P13="y",getScoreFactor("Program",AL$2),"")</f>
        <v/>
      </c>
      <c r="AM13" s="343" cm="1">
        <f t="array" ref="AM13">IF(ItineraryPrograms!Q13="y",getScoreFactor("Program",AM$2),"")</f>
        <v>123</v>
      </c>
      <c r="AN13" s="343" t="str" cm="1">
        <f t="array" ref="AN13">IF(ItineraryPrograms!R13="y",getScoreFactor("Program",AN$2),"")</f>
        <v/>
      </c>
      <c r="AO13" s="343" cm="1">
        <f t="array" ref="AO13">IF(ItineraryPrograms!S13="y",getScoreFactor("Program",AO$2),"")</f>
        <v>106.5</v>
      </c>
      <c r="AP13" s="343" t="str" cm="1">
        <f t="array" ref="AP13">IF(ItineraryPrograms!T13="y",getScoreFactor("Program",AP$2),"")</f>
        <v/>
      </c>
      <c r="AQ13" s="343" t="str" cm="1">
        <f t="array" ref="AQ13">IF(ItineraryPrograms!U13="y",getScoreFactor("Program",AQ$2),"")</f>
        <v/>
      </c>
      <c r="AR13" s="343" t="str" cm="1">
        <f t="array" ref="AR13">IF(ItineraryPrograms!V13="y",getScoreFactor("Program",AR$2),"")</f>
        <v/>
      </c>
      <c r="AS13" s="343" cm="1">
        <f t="array" ref="AS13">IF(ItineraryPrograms!W13="y",getScoreFactor("Program",AS$2),"")</f>
        <v>114</v>
      </c>
      <c r="AT13" s="343" cm="1">
        <f t="array" ref="AT13">IF(ItineraryPrograms!X13="y",getScoreFactor("Program",AT$2),"")</f>
        <v>129</v>
      </c>
      <c r="AU13" s="343" t="str" cm="1">
        <f t="array" ref="AU13">IF(ItineraryPrograms!Y13="y",getScoreFactor("Program",AU$2),"")</f>
        <v/>
      </c>
      <c r="AV13" s="343" cm="1">
        <f t="array" ref="AV13">IF(ItineraryPrograms!Z13="y",getScoreFactor("Program",AV$2),"")</f>
        <v>162</v>
      </c>
      <c r="AW13" s="343" t="str" cm="1">
        <f t="array" ref="AW13">IF(ItineraryPrograms!AA13="y",getScoreFactor("Program",AW$2),"")</f>
        <v/>
      </c>
      <c r="AX13" s="343" cm="1">
        <f t="array" ref="AX13">IF(ItineraryPrograms!AB13="y",getScoreFactor("Program",AX$2),"")</f>
        <v>145.5</v>
      </c>
      <c r="AY13" s="343" t="str" cm="1">
        <f t="array" ref="AY13">IF(ItineraryPrograms!AC13="y",getScoreFactor("Program",AY$2),"")</f>
        <v/>
      </c>
      <c r="AZ13" s="343" cm="1">
        <f t="array" ref="AZ13">IF(ItineraryPrograms!AD13="y",getScoreFactor("Program",AZ$2),"")</f>
        <v>175.5</v>
      </c>
      <c r="BA13" s="343" t="str" cm="1">
        <f t="array" ref="BA13">IF(ItineraryPrograms!AE13="y",getScoreFactor("Program",BA$2),"")</f>
        <v/>
      </c>
      <c r="BB13" s="343" t="str" cm="1">
        <f t="array" ref="BB13">IF(ItineraryPrograms!AF13="y",getScoreFactor("Program",BB$2),"")</f>
        <v/>
      </c>
      <c r="BC13" s="343" cm="1">
        <f t="array" ref="BC13">IF(ItineraryPrograms!AG13="y",getScoreFactor("Program",BC$2),"")</f>
        <v>202.5</v>
      </c>
      <c r="BD13" s="343" t="str" cm="1">
        <f t="array" ref="BD13">IF(ItineraryPrograms!AH13="y",getScoreFactor("Program",BD$2),"")</f>
        <v/>
      </c>
      <c r="BE13" s="343" t="str" cm="1">
        <f t="array" ref="BE13">IF(ItineraryPrograms!AI13="y",getScoreFactor("Program",BE$2),"")</f>
        <v/>
      </c>
      <c r="BF13" s="343" cm="1">
        <f t="array" ref="BF13">IF(ItineraryPrograms!AJ13="y",getScoreFactor("Program",BF$2),"")</f>
        <v>220.5</v>
      </c>
      <c r="BG13" s="343" t="str" cm="1">
        <f t="array" ref="BG13">IF(ItineraryPrograms!AK13="y",getScoreFactor("Program",BG$2),"")</f>
        <v/>
      </c>
      <c r="BH13" s="343" cm="1">
        <f t="array" ref="BH13">IF(ItineraryPrograms!AL13="y",getScoreFactor("Program",BH$2),"")</f>
        <v>255</v>
      </c>
      <c r="BI13" s="343" t="str" cm="1">
        <f t="array" ref="BI13">IF(ItineraryPrograms!AM13="y",getScoreFactor("Program",BI$2),"")</f>
        <v/>
      </c>
      <c r="BJ13" s="343" cm="1">
        <f t="array" ref="BJ13">IF(ItineraryPrograms!AN13="y",getScoreFactor("Program",BJ$2),"")</f>
        <v>193.5</v>
      </c>
      <c r="BK13" s="343" t="str" cm="1">
        <f t="array" ref="BK13">IF(ItineraryPrograms!AO13="y",getScoreFactor("Program",BK$2),"")</f>
        <v/>
      </c>
      <c r="BL13" s="343" t="str" cm="1">
        <f t="array" ref="BL13">IF(ItineraryPrograms!AP13="y",getScoreFactor("Program",BL$2),"")</f>
        <v/>
      </c>
      <c r="BM13" s="343" t="str" cm="1">
        <f t="array" ref="BM13">IF(ItineraryPrograms!AQ13="y",getScoreFactor("Program",BM$2),"")</f>
        <v/>
      </c>
      <c r="BN13" s="343" t="str" cm="1">
        <f t="array" ref="BN13">IF(ItineraryPrograms!AR13="y",getScoreFactor("Program",BN$2),"")</f>
        <v/>
      </c>
      <c r="BO13" s="343" t="str" cm="1">
        <f t="array" ref="BO13">IF(ItineraryPrograms!AS13="y",getScoreFactor("Program",BO$2),"")</f>
        <v/>
      </c>
      <c r="BP13" s="343" t="str" cm="1">
        <f t="array" ref="BP13">IF(ItineraryPrograms!AT13="y",getScoreFactor("Program",BP$2),"")</f>
        <v/>
      </c>
      <c r="BQ13" s="343" t="str" cm="1">
        <f t="array" ref="BQ13">IF(ItineraryPrograms!AU13="y",getScoreFactor("Program",BQ$2),"")</f>
        <v/>
      </c>
      <c r="BR13" s="343" t="str" cm="1">
        <f t="array" ref="BR13">IF(ItineraryPrograms!AV13="y",getScoreFactor("Program",BR$2),"")</f>
        <v/>
      </c>
      <c r="BS13" s="343" t="str" cm="1">
        <f t="array" ref="BS13">IF(ItineraryPrograms!AW13="y",getScoreFactor("Program",BS$2),"")</f>
        <v/>
      </c>
      <c r="BT13" s="343" t="str" cm="1">
        <f t="array" ref="BT13">IF(ItineraryPrograms!AX13="y",getScoreFactor("Program",BT$2),"")</f>
        <v/>
      </c>
      <c r="BU13" s="343" cm="1">
        <f t="array" ref="BU13">IF(ItineraryPrograms!AY13="y",getScoreFactor("Program",BU$2),"")</f>
        <v>207</v>
      </c>
      <c r="BV13" s="343" cm="1">
        <f t="array" ref="BV13">IF(ItineraryPrograms!AZ13="y",getScoreFactor("Program",BV$2),"")</f>
        <v>207</v>
      </c>
      <c r="BW13" s="343" t="str" cm="1">
        <f t="array" ref="BW13">IF(ItineraryPrograms!BA13="y",getScoreFactor("Program",BW$2),"")</f>
        <v/>
      </c>
      <c r="BX13" s="343" cm="1">
        <f t="array" ref="BX13">IF(ItineraryPrograms!BB13="y",getScoreFactor("Program",BX$2),"")</f>
        <v>235.5</v>
      </c>
      <c r="BY13" s="343" t="str" cm="1">
        <f t="array" ref="BY13">IF(ItineraryPrograms!BC13="y",getScoreFactor("Program",BY$2),"")</f>
        <v/>
      </c>
      <c r="BZ13" s="343" t="str" cm="1">
        <f t="array" ref="BZ13">IF(ItineraryPrograms!BD13="y",getScoreFactor("Program",BZ$2),"")</f>
        <v/>
      </c>
      <c r="CA13" s="343" t="str" cm="1">
        <f t="array" ref="CA13">IF(ItineraryPrograms!BE13="y",getScoreFactor("Program",CA$2),"")</f>
        <v/>
      </c>
      <c r="CB13" s="984" t="str" cm="1">
        <f t="array" ref="CB13">IF(ItineraryPrograms!BF13="y",getScoreFactor("Program",CB$2),"")</f>
        <v/>
      </c>
    </row>
    <row r="14" spans="1:80" x14ac:dyDescent="0.2">
      <c r="A14" s="185" t="str">
        <f>Itineraries!A14</f>
        <v>9-12</v>
      </c>
      <c r="B14" s="365">
        <f t="shared" ref="B14" si="17">SUM(C14:BU14)</f>
        <v>13374.5</v>
      </c>
      <c r="C14" s="348" cm="1">
        <f t="array" ref="C14">getScoreFactor(C$2,itineraryCamps!C15)</f>
        <v>3000</v>
      </c>
      <c r="D14" s="341" cm="1">
        <f t="array" ref="D14">getScoreFactor(D$2,"Miles") *itineraryCamps!D15</f>
        <v>5700</v>
      </c>
      <c r="E14" s="580" cm="1">
        <f t="array" ref="E14">getScoreFactor(E$2,Itineraries!B14)</f>
        <v>30</v>
      </c>
      <c r="F14" s="580" cm="1">
        <f t="array" ref="F14">getScoreFactor(F$2,Itineraries!C14)</f>
        <v>90</v>
      </c>
      <c r="G14" s="349" cm="1">
        <f t="array" ref="G14">getScoreFactor(G$2,Itineraries!E14)</f>
        <v>50</v>
      </c>
      <c r="H14" s="349" cm="1">
        <f t="array" ref="H14">getScoreFactor(H$2,Itineraries!H14)</f>
        <v>200</v>
      </c>
      <c r="I14" s="349" cm="1">
        <f t="array" ref="I14">getScoreFactor(I$2,Itineraries!G14)</f>
        <v>75</v>
      </c>
      <c r="J14" s="587" cm="1">
        <f t="array" ref="J14">getScoreFactor(J$2,Itineraries!J14)</f>
        <v>110</v>
      </c>
      <c r="K14" s="587" cm="1">
        <f t="array" ref="K14">getScoreFactor(K$2,Itineraries!K14)</f>
        <v>100</v>
      </c>
      <c r="L14" s="588" cm="1">
        <f t="array" ref="L14">getScoreFactor(L$2,Itineraries!L14)</f>
        <v>0</v>
      </c>
      <c r="M14" s="259" cm="1">
        <f t="array" ref="M14">IF(INDEX(startingTA,numericItinerary($A14))=$M$2,getScoreFactor(M$2,"y"),getScoreFactor(M$2,"n"))</f>
        <v>0</v>
      </c>
      <c r="N14" s="575" cm="1">
        <f t="array" ref="N14">IF(INDEX(endingTA,numericItinerary($A14))=$N$2,getScoreFactor(N$2,"y"),getScoreFactor(N$2,"n"))</f>
        <v>500</v>
      </c>
      <c r="O14" s="1064" t="str" cm="1">
        <f t="array" ref="O14">IF(INDEX(baldyMountainHike,numericItinerary($A14))="","",getPeakScore(O$2))</f>
        <v/>
      </c>
      <c r="P14" s="725" cm="1">
        <f t="array" ref="P14">IF(INDEX(mountPhillipsHike,numericItinerary($A14))="","",getPeakScore(P$2))</f>
        <v>231.75</v>
      </c>
      <c r="Q14" s="725" cm="1">
        <f t="array" ref="Q14">IF(INDEX(toothOfTimeHike,numericItinerary($A14))="","",getPeakScore(Q$2))</f>
        <v>303.75</v>
      </c>
      <c r="R14" s="725" t="str" cm="1">
        <f t="array" ref="R14">IF(INDEX(inspirationPointHike,numericItinerary($A14))="","",getPeakScore(Q$2))</f>
        <v/>
      </c>
      <c r="S14" s="725" cm="1">
        <f t="array" ref="S14">IF(INDEX(trailPeakHike,numericItinerary($A14))="","",getPeakScore(S$2))</f>
        <v>91.5</v>
      </c>
      <c r="T14" s="725" cm="1">
        <f t="array" ref="T14">IF(INDEX(mountaineeringHike,numericItinerary($A14))="","",getPeakScore(T$2))</f>
        <v>189</v>
      </c>
      <c r="U14" s="342" cm="1">
        <f t="array" ref="U14">IF(areaImportant&lt;&gt;"y","",IF(Itineraries!P14&lt;&gt;"Y","",getareascore(U$2)))</f>
        <v>200</v>
      </c>
      <c r="V14" s="342" cm="1">
        <f t="array" ref="V14">IF(areaImportant&lt;&gt;"y","",IF(Itineraries!Q14&lt;&gt;"Y","",getareascore(V$2)))</f>
        <v>150</v>
      </c>
      <c r="W14" s="342" t="str" cm="1">
        <f t="array" ref="W14">IF(areaImportant&lt;&gt;"y","",IF(Itineraries!R14&lt;&gt;"Y","",getareascore(W$2)))</f>
        <v/>
      </c>
      <c r="X14" s="1065" t="str" cm="1">
        <f t="array" ref="X14">IF(areaImportant&lt;&gt;"y","",IF(Itineraries!S14&lt;&gt;"Y","",getareascore(X$2)))</f>
        <v/>
      </c>
      <c r="Y14" s="1058" t="str" cm="1">
        <f t="array" ref="Y14">IF(ItineraryPrograms!C14="y",getScoreFactor("Program",Y$2),"")</f>
        <v/>
      </c>
      <c r="Z14" s="343" t="str" cm="1">
        <f t="array" ref="Z14">IF(ItineraryPrograms!D14="y",getScoreFactor("Program",Z$2),"")</f>
        <v/>
      </c>
      <c r="AA14" s="343" t="str" cm="1">
        <f t="array" ref="AA14">IF(ItineraryPrograms!E14="y",getScoreFactor("Program",AA$2),"")</f>
        <v/>
      </c>
      <c r="AB14" s="343" t="str" cm="1">
        <f t="array" ref="AB14">IF(ItineraryPrograms!F14="y",getScoreFactor("Program",AB$2),"")</f>
        <v/>
      </c>
      <c r="AC14" s="343" t="str" cm="1">
        <f t="array" ref="AC14">IF(ItineraryPrograms!G14="y",getScoreFactor("Program",AC$2),"")</f>
        <v/>
      </c>
      <c r="AD14" s="343" t="str" cm="1">
        <f t="array" ref="AD14">IF(ItineraryPrograms!H14="y",getScoreFactor("Program",AD$2),"")</f>
        <v/>
      </c>
      <c r="AE14" s="343" t="str" cm="1">
        <f t="array" ref="AE14">IF(ItineraryPrograms!I14="y",getScoreFactor("Program",AE$2),"")</f>
        <v/>
      </c>
      <c r="AF14" s="343" t="str" cm="1">
        <f t="array" ref="AF14">IF(ItineraryPrograms!J14="y",getScoreFactor("Program",AF$2),"")</f>
        <v/>
      </c>
      <c r="AG14" s="343" cm="1">
        <f t="array" ref="AG14">IF(ItineraryPrograms!K14="y",getScoreFactor("Program",AG$2),"")</f>
        <v>130.5</v>
      </c>
      <c r="AH14" s="343" t="str" cm="1">
        <f t="array" ref="AH14">IF(ItineraryPrograms!L14="y",getScoreFactor("Program",AH$2),"")</f>
        <v/>
      </c>
      <c r="AI14" s="343" cm="1">
        <f t="array" ref="AI14">IF(ItineraryPrograms!M14="y",getScoreFactor("Program",AI$2),"")</f>
        <v>109.5</v>
      </c>
      <c r="AJ14" s="343" cm="1">
        <f t="array" ref="AJ14">IF(ItineraryPrograms!N14="y",getScoreFactor("Program",AJ$2),"")</f>
        <v>109.5</v>
      </c>
      <c r="AK14" s="343" cm="1">
        <f t="array" ref="AK14">IF(ItineraryPrograms!O14="y",getScoreFactor("Program",AK$2),"")</f>
        <v>111</v>
      </c>
      <c r="AL14" s="343" t="str" cm="1">
        <f t="array" ref="AL14">IF(ItineraryPrograms!P14="y",getScoreFactor("Program",AL$2),"")</f>
        <v/>
      </c>
      <c r="AM14" s="343" t="str" cm="1">
        <f t="array" ref="AM14">IF(ItineraryPrograms!Q14="y",getScoreFactor("Program",AM$2),"")</f>
        <v/>
      </c>
      <c r="AN14" s="343" t="str" cm="1">
        <f t="array" ref="AN14">IF(ItineraryPrograms!R14="y",getScoreFactor("Program",AN$2),"")</f>
        <v/>
      </c>
      <c r="AO14" s="343" t="str" cm="1">
        <f t="array" ref="AO14">IF(ItineraryPrograms!S14="y",getScoreFactor("Program",AO$2),"")</f>
        <v/>
      </c>
      <c r="AP14" s="343" t="str" cm="1">
        <f t="array" ref="AP14">IF(ItineraryPrograms!T14="y",getScoreFactor("Program",AP$2),"")</f>
        <v/>
      </c>
      <c r="AQ14" s="343" t="str" cm="1">
        <f t="array" ref="AQ14">IF(ItineraryPrograms!U14="y",getScoreFactor("Program",AQ$2),"")</f>
        <v/>
      </c>
      <c r="AR14" s="343" t="str" cm="1">
        <f t="array" ref="AR14">IF(ItineraryPrograms!V14="y",getScoreFactor("Program",AR$2),"")</f>
        <v/>
      </c>
      <c r="AS14" s="343" t="str" cm="1">
        <f t="array" ref="AS14">IF(ItineraryPrograms!W14="y",getScoreFactor("Program",AS$2),"")</f>
        <v/>
      </c>
      <c r="AT14" s="343" t="str" cm="1">
        <f t="array" ref="AT14">IF(ItineraryPrograms!X14="y",getScoreFactor("Program",AT$2),"")</f>
        <v/>
      </c>
      <c r="AU14" s="343" t="str" cm="1">
        <f t="array" ref="AU14">IF(ItineraryPrograms!Y14="y",getScoreFactor("Program",AU$2),"")</f>
        <v/>
      </c>
      <c r="AV14" s="343" t="str" cm="1">
        <f t="array" ref="AV14">IF(ItineraryPrograms!Z14="y",getScoreFactor("Program",AV$2),"")</f>
        <v/>
      </c>
      <c r="AW14" s="343" t="str" cm="1">
        <f t="array" ref="AW14">IF(ItineraryPrograms!AA14="y",getScoreFactor("Program",AW$2),"")</f>
        <v/>
      </c>
      <c r="AX14" s="343" t="str" cm="1">
        <f t="array" ref="AX14">IF(ItineraryPrograms!AB14="y",getScoreFactor("Program",AX$2),"")</f>
        <v/>
      </c>
      <c r="AY14" s="343" t="str" cm="1">
        <f t="array" ref="AY14">IF(ItineraryPrograms!AC14="y",getScoreFactor("Program",AY$2),"")</f>
        <v/>
      </c>
      <c r="AZ14" s="343" t="str" cm="1">
        <f t="array" ref="AZ14">IF(ItineraryPrograms!AD14="y",getScoreFactor("Program",AZ$2),"")</f>
        <v/>
      </c>
      <c r="BA14" s="343" t="str" cm="1">
        <f t="array" ref="BA14">IF(ItineraryPrograms!AE14="y",getScoreFactor("Program",BA$2),"")</f>
        <v/>
      </c>
      <c r="BB14" s="343" cm="1">
        <f t="array" ref="BB14">IF(ItineraryPrograms!AF14="y",getScoreFactor("Program",BB$2),"")</f>
        <v>189</v>
      </c>
      <c r="BC14" s="343" cm="1">
        <f t="array" ref="BC14">IF(ItineraryPrograms!AG14="y",getScoreFactor("Program",BC$2),"")</f>
        <v>202.5</v>
      </c>
      <c r="BD14" s="343" cm="1">
        <f t="array" ref="BD14">IF(ItineraryPrograms!AH14="y",getScoreFactor("Program",BD$2),"")</f>
        <v>91.5</v>
      </c>
      <c r="BE14" s="343" cm="1">
        <f t="array" ref="BE14">IF(ItineraryPrograms!AI14="y",getScoreFactor("Program",BE$2),"")</f>
        <v>181.5</v>
      </c>
      <c r="BF14" s="343" cm="1">
        <f t="array" ref="BF14">IF(ItineraryPrograms!AJ14="y",getScoreFactor("Program",BF$2),"")</f>
        <v>220.5</v>
      </c>
      <c r="BG14" s="343" t="str" cm="1">
        <f t="array" ref="BG14">IF(ItineraryPrograms!AK14="y",getScoreFactor("Program",BG$2),"")</f>
        <v/>
      </c>
      <c r="BH14" s="343" t="str" cm="1">
        <f t="array" ref="BH14">IF(ItineraryPrograms!AL14="y",getScoreFactor("Program",BH$2),"")</f>
        <v/>
      </c>
      <c r="BI14" s="343" t="str" cm="1">
        <f t="array" ref="BI14">IF(ItineraryPrograms!AM14="y",getScoreFactor("Program",BI$2),"")</f>
        <v/>
      </c>
      <c r="BJ14" s="343" t="str" cm="1">
        <f t="array" ref="BJ14">IF(ItineraryPrograms!AN14="y",getScoreFactor("Program",BJ$2),"")</f>
        <v/>
      </c>
      <c r="BK14" s="343" t="str" cm="1">
        <f t="array" ref="BK14">IF(ItineraryPrograms!AO14="y",getScoreFactor("Program",BK$2),"")</f>
        <v/>
      </c>
      <c r="BL14" s="343" t="str" cm="1">
        <f t="array" ref="BL14">IF(ItineraryPrograms!AP14="y",getScoreFactor("Program",BL$2),"")</f>
        <v/>
      </c>
      <c r="BM14" s="343" t="str" cm="1">
        <f t="array" ref="BM14">IF(ItineraryPrograms!AQ14="y",getScoreFactor("Program",BM$2),"")</f>
        <v/>
      </c>
      <c r="BN14" s="343" cm="1">
        <f t="array" ref="BN14">IF(ItineraryPrograms!AR14="y",getScoreFactor("Program",BN$2),"")</f>
        <v>255</v>
      </c>
      <c r="BO14" s="343" t="str" cm="1">
        <f t="array" ref="BO14">IF(ItineraryPrograms!AS14="y",getScoreFactor("Program",BO$2),"")</f>
        <v/>
      </c>
      <c r="BP14" s="343" t="str" cm="1">
        <f t="array" ref="BP14">IF(ItineraryPrograms!AT14="y",getScoreFactor("Program",BP$2),"")</f>
        <v/>
      </c>
      <c r="BQ14" s="343" t="str" cm="1">
        <f t="array" ref="BQ14">IF(ItineraryPrograms!AU14="y",getScoreFactor("Program",BQ$2),"")</f>
        <v/>
      </c>
      <c r="BR14" s="343" cm="1">
        <f t="array" ref="BR14">IF(ItineraryPrograms!AV14="y",getScoreFactor("Program",BR$2),"")</f>
        <v>136.5</v>
      </c>
      <c r="BS14" s="343" cm="1">
        <f t="array" ref="BS14">IF(ItineraryPrograms!AW14="y",getScoreFactor("Program",BS$2),"")</f>
        <v>202.5</v>
      </c>
      <c r="BT14" s="343" cm="1">
        <f t="array" ref="BT14">IF(ItineraryPrograms!AX14="y",getScoreFactor("Program",BT$2),"")</f>
        <v>207</v>
      </c>
      <c r="BU14" s="343" cm="1">
        <f t="array" ref="BU14">IF(ItineraryPrograms!AY14="y",getScoreFactor("Program",BU$2),"")</f>
        <v>207</v>
      </c>
      <c r="BV14" s="343" t="str" cm="1">
        <f t="array" ref="BV14">IF(ItineraryPrograms!AZ14="y",getScoreFactor("Program",BV$2),"")</f>
        <v/>
      </c>
      <c r="BW14" s="343" t="str" cm="1">
        <f t="array" ref="BW14">IF(ItineraryPrograms!BA14="y",getScoreFactor("Program",BW$2),"")</f>
        <v/>
      </c>
      <c r="BX14" s="343" t="str" cm="1">
        <f t="array" ref="BX14">IF(ItineraryPrograms!BB14="y",getScoreFactor("Program",BX$2),"")</f>
        <v/>
      </c>
      <c r="BY14" s="343" cm="1">
        <f t="array" ref="BY14">IF(ItineraryPrograms!BC14="y",getScoreFactor("Program",BY$2),"")</f>
        <v>133.5</v>
      </c>
      <c r="BZ14" s="343" t="str" cm="1">
        <f t="array" ref="BZ14">IF(ItineraryPrograms!BD14="y",getScoreFactor("Program",BZ$2),"")</f>
        <v/>
      </c>
      <c r="CA14" s="343" t="e" cm="1">
        <f t="array" ref="CA14">IF(ItineraryPrograms!BE14="y",getScoreFactor("Program",CA$2),"")</f>
        <v>#VALUE!</v>
      </c>
      <c r="CB14" s="984" t="str" cm="1">
        <f t="array" ref="CB14">IF(ItineraryPrograms!BF14="y",getScoreFactor("Program",CB$2),"")</f>
        <v/>
      </c>
    </row>
    <row r="15" spans="1:80" x14ac:dyDescent="0.2">
      <c r="A15" s="185"/>
      <c r="B15" s="365"/>
      <c r="C15" s="348"/>
      <c r="D15" s="341"/>
      <c r="E15" s="580"/>
      <c r="F15" s="580"/>
      <c r="G15" s="349"/>
      <c r="H15" s="349"/>
      <c r="I15" s="349"/>
      <c r="J15" s="587"/>
      <c r="K15" s="587"/>
      <c r="L15" s="588"/>
      <c r="M15" s="259"/>
      <c r="N15" s="575"/>
      <c r="O15" s="1064"/>
      <c r="P15" s="725"/>
      <c r="Q15" s="725"/>
      <c r="R15" s="725"/>
      <c r="S15" s="725"/>
      <c r="T15" s="725"/>
      <c r="U15" s="342"/>
      <c r="V15" s="342"/>
      <c r="W15" s="342"/>
      <c r="X15" s="1065"/>
      <c r="Y15" s="1058"/>
      <c r="Z15" s="343"/>
      <c r="AA15" s="343"/>
      <c r="AB15" s="343"/>
      <c r="AC15" s="343"/>
      <c r="AD15" s="343"/>
      <c r="AE15" s="343"/>
      <c r="AF15" s="343"/>
      <c r="AG15" s="343"/>
      <c r="AH15" s="343"/>
      <c r="AI15" s="343"/>
      <c r="AJ15" s="343"/>
      <c r="AK15" s="343"/>
      <c r="AL15" s="343"/>
      <c r="AM15" s="343"/>
      <c r="AN15" s="343"/>
      <c r="AO15" s="343"/>
      <c r="AP15" s="343"/>
      <c r="AQ15" s="343"/>
      <c r="AR15" s="343"/>
      <c r="AS15" s="343"/>
      <c r="AT15" s="343"/>
      <c r="AU15" s="343"/>
      <c r="AV15" s="343"/>
      <c r="AW15" s="343"/>
      <c r="AX15" s="343"/>
      <c r="AY15" s="343"/>
      <c r="AZ15" s="343"/>
      <c r="BA15" s="343"/>
      <c r="BB15" s="343"/>
      <c r="BC15" s="343"/>
      <c r="BD15" s="343"/>
      <c r="BE15" s="343"/>
      <c r="BF15" s="343"/>
      <c r="BG15" s="343"/>
      <c r="BH15" s="343"/>
      <c r="BI15" s="343"/>
      <c r="BJ15" s="343"/>
      <c r="BK15" s="343"/>
      <c r="BL15" s="343"/>
      <c r="BM15" s="343"/>
      <c r="BN15" s="343"/>
      <c r="BO15" s="343"/>
      <c r="BP15" s="343"/>
      <c r="BQ15" s="343"/>
      <c r="BR15" s="343"/>
      <c r="BS15" s="343"/>
      <c r="BT15" s="343"/>
      <c r="BU15" s="343"/>
      <c r="BV15" s="343"/>
      <c r="BW15" s="343"/>
      <c r="BX15" s="343"/>
      <c r="BY15" s="343"/>
      <c r="BZ15" s="343"/>
      <c r="CA15" s="343"/>
      <c r="CB15" s="984"/>
    </row>
    <row r="16" spans="1:80" x14ac:dyDescent="0.2">
      <c r="A16" s="185"/>
      <c r="B16" s="365"/>
      <c r="C16" s="348"/>
      <c r="D16" s="341"/>
      <c r="E16" s="580"/>
      <c r="F16" s="580"/>
      <c r="G16" s="349"/>
      <c r="H16" s="349"/>
      <c r="I16" s="349"/>
      <c r="J16" s="587"/>
      <c r="K16" s="587"/>
      <c r="L16" s="588"/>
      <c r="M16" s="259"/>
      <c r="N16" s="575"/>
      <c r="O16" s="1064"/>
      <c r="P16" s="725"/>
      <c r="Q16" s="725"/>
      <c r="R16" s="725"/>
      <c r="S16" s="725"/>
      <c r="T16" s="725"/>
      <c r="U16" s="342"/>
      <c r="V16" s="342"/>
      <c r="W16" s="342"/>
      <c r="X16" s="1065"/>
      <c r="Y16" s="1058"/>
      <c r="Z16" s="343"/>
      <c r="AA16" s="343"/>
      <c r="AB16" s="343"/>
      <c r="AC16" s="343"/>
      <c r="AD16" s="343"/>
      <c r="AE16" s="343"/>
      <c r="AF16" s="343"/>
      <c r="AG16" s="343"/>
      <c r="AH16" s="343"/>
      <c r="AI16" s="343"/>
      <c r="AJ16" s="343"/>
      <c r="AK16" s="343"/>
      <c r="AL16" s="343"/>
      <c r="AM16" s="343"/>
      <c r="AN16" s="343"/>
      <c r="AO16" s="343"/>
      <c r="AP16" s="343"/>
      <c r="AQ16" s="343"/>
      <c r="AR16" s="343"/>
      <c r="AS16" s="343"/>
      <c r="AT16" s="343"/>
      <c r="AU16" s="343"/>
      <c r="AV16" s="343"/>
      <c r="AW16" s="343"/>
      <c r="AX16" s="343"/>
      <c r="AY16" s="343"/>
      <c r="AZ16" s="343"/>
      <c r="BA16" s="343"/>
      <c r="BB16" s="343"/>
      <c r="BC16" s="343"/>
      <c r="BD16" s="343"/>
      <c r="BE16" s="343"/>
      <c r="BF16" s="343"/>
      <c r="BG16" s="343"/>
      <c r="BH16" s="343"/>
      <c r="BI16" s="343"/>
      <c r="BJ16" s="343"/>
      <c r="BK16" s="343"/>
      <c r="BL16" s="343"/>
      <c r="BM16" s="343"/>
      <c r="BN16" s="343"/>
      <c r="BO16" s="343"/>
      <c r="BP16" s="343"/>
      <c r="BQ16" s="343"/>
      <c r="BR16" s="343"/>
      <c r="BS16" s="343"/>
      <c r="BT16" s="343"/>
      <c r="BU16" s="343"/>
      <c r="BV16" s="343"/>
      <c r="BW16" s="343"/>
      <c r="BX16" s="343"/>
      <c r="BY16" s="343"/>
      <c r="BZ16" s="343"/>
      <c r="CA16" s="343"/>
      <c r="CB16" s="984"/>
    </row>
    <row r="17" spans="1:80" x14ac:dyDescent="0.2">
      <c r="A17" s="185"/>
      <c r="B17" s="365"/>
      <c r="C17" s="348"/>
      <c r="D17" s="341"/>
      <c r="E17" s="580"/>
      <c r="F17" s="580"/>
      <c r="G17" s="349"/>
      <c r="H17" s="349"/>
      <c r="I17" s="349"/>
      <c r="J17" s="587"/>
      <c r="K17" s="587"/>
      <c r="L17" s="588"/>
      <c r="M17" s="259"/>
      <c r="N17" s="575"/>
      <c r="O17" s="1064"/>
      <c r="P17" s="725"/>
      <c r="Q17" s="725"/>
      <c r="R17" s="725"/>
      <c r="S17" s="725"/>
      <c r="T17" s="725"/>
      <c r="U17" s="342"/>
      <c r="V17" s="342"/>
      <c r="W17" s="342"/>
      <c r="X17" s="1065"/>
      <c r="Y17" s="1058"/>
      <c r="Z17" s="343"/>
      <c r="AA17" s="343"/>
      <c r="AB17" s="343"/>
      <c r="AC17" s="343"/>
      <c r="AD17" s="343"/>
      <c r="AE17" s="343"/>
      <c r="AF17" s="343"/>
      <c r="AG17" s="343"/>
      <c r="AH17" s="343"/>
      <c r="AI17" s="343"/>
      <c r="AJ17" s="343"/>
      <c r="AK17" s="343"/>
      <c r="AL17" s="343"/>
      <c r="AM17" s="343"/>
      <c r="AN17" s="343"/>
      <c r="AO17" s="343"/>
      <c r="AP17" s="343"/>
      <c r="AQ17" s="343"/>
      <c r="AR17" s="343"/>
      <c r="AS17" s="343"/>
      <c r="AT17" s="343"/>
      <c r="AU17" s="343"/>
      <c r="AV17" s="343"/>
      <c r="AW17" s="343"/>
      <c r="AX17" s="343"/>
      <c r="AY17" s="343"/>
      <c r="AZ17" s="343"/>
      <c r="BA17" s="343"/>
      <c r="BB17" s="343"/>
      <c r="BC17" s="343"/>
      <c r="BD17" s="343"/>
      <c r="BE17" s="343"/>
      <c r="BF17" s="343"/>
      <c r="BG17" s="343"/>
      <c r="BH17" s="343"/>
      <c r="BI17" s="343"/>
      <c r="BJ17" s="343"/>
      <c r="BK17" s="343"/>
      <c r="BL17" s="343"/>
      <c r="BM17" s="343"/>
      <c r="BN17" s="343"/>
      <c r="BO17" s="343"/>
      <c r="BP17" s="343"/>
      <c r="BQ17" s="343"/>
      <c r="BR17" s="343"/>
      <c r="BS17" s="343"/>
      <c r="BT17" s="343"/>
      <c r="BU17" s="343"/>
      <c r="BV17" s="343"/>
      <c r="BW17" s="343"/>
      <c r="BX17" s="343"/>
      <c r="BY17" s="343"/>
      <c r="BZ17" s="343"/>
      <c r="CA17" s="343"/>
      <c r="CB17" s="984"/>
    </row>
    <row r="18" spans="1:80" x14ac:dyDescent="0.2">
      <c r="A18" s="185"/>
      <c r="B18" s="365"/>
      <c r="C18" s="348"/>
      <c r="D18" s="341"/>
      <c r="E18" s="580"/>
      <c r="F18" s="580"/>
      <c r="G18" s="349"/>
      <c r="H18" s="349"/>
      <c r="I18" s="349"/>
      <c r="J18" s="587"/>
      <c r="K18" s="587"/>
      <c r="L18" s="588"/>
      <c r="M18" s="259"/>
      <c r="N18" s="575"/>
      <c r="O18" s="1064"/>
      <c r="P18" s="725"/>
      <c r="Q18" s="725"/>
      <c r="R18" s="725"/>
      <c r="S18" s="725"/>
      <c r="T18" s="725"/>
      <c r="U18" s="342"/>
      <c r="V18" s="342"/>
      <c r="W18" s="342"/>
      <c r="X18" s="1065"/>
      <c r="Y18" s="1058"/>
      <c r="Z18" s="343"/>
      <c r="AA18" s="343"/>
      <c r="AB18" s="343"/>
      <c r="AC18" s="343"/>
      <c r="AD18" s="343"/>
      <c r="AE18" s="343"/>
      <c r="AF18" s="343"/>
      <c r="AG18" s="343"/>
      <c r="AH18" s="343"/>
      <c r="AI18" s="343"/>
      <c r="AJ18" s="343"/>
      <c r="AK18" s="343"/>
      <c r="AL18" s="343"/>
      <c r="AM18" s="343"/>
      <c r="AN18" s="343"/>
      <c r="AO18" s="343"/>
      <c r="AP18" s="343"/>
      <c r="AQ18" s="343"/>
      <c r="AR18" s="343"/>
      <c r="AS18" s="343"/>
      <c r="AT18" s="343"/>
      <c r="AU18" s="343"/>
      <c r="AV18" s="343"/>
      <c r="AW18" s="343"/>
      <c r="AX18" s="343"/>
      <c r="AY18" s="343"/>
      <c r="AZ18" s="343"/>
      <c r="BA18" s="343"/>
      <c r="BB18" s="343"/>
      <c r="BC18" s="343"/>
      <c r="BD18" s="343"/>
      <c r="BE18" s="343"/>
      <c r="BF18" s="343"/>
      <c r="BG18" s="343"/>
      <c r="BH18" s="343"/>
      <c r="BI18" s="343"/>
      <c r="BJ18" s="343"/>
      <c r="BK18" s="343"/>
      <c r="BL18" s="343"/>
      <c r="BM18" s="343"/>
      <c r="BN18" s="343"/>
      <c r="BO18" s="343"/>
      <c r="BP18" s="343"/>
      <c r="BQ18" s="343"/>
      <c r="BR18" s="343"/>
      <c r="BS18" s="343"/>
      <c r="BT18" s="343"/>
      <c r="BU18" s="343"/>
      <c r="BV18" s="343"/>
      <c r="BW18" s="343"/>
      <c r="BX18" s="343"/>
      <c r="BY18" s="343"/>
      <c r="BZ18" s="343"/>
      <c r="CA18" s="343"/>
      <c r="CB18" s="984"/>
    </row>
    <row r="19" spans="1:80" x14ac:dyDescent="0.2">
      <c r="A19" s="185"/>
      <c r="B19" s="365"/>
      <c r="C19" s="348"/>
      <c r="D19" s="341"/>
      <c r="E19" s="580"/>
      <c r="F19" s="580"/>
      <c r="G19" s="349"/>
      <c r="H19" s="349"/>
      <c r="I19" s="349"/>
      <c r="J19" s="587"/>
      <c r="K19" s="587"/>
      <c r="L19" s="588"/>
      <c r="M19" s="259"/>
      <c r="N19" s="575"/>
      <c r="O19" s="1064"/>
      <c r="P19" s="725"/>
      <c r="Q19" s="725"/>
      <c r="R19" s="725"/>
      <c r="S19" s="725"/>
      <c r="T19" s="725"/>
      <c r="U19" s="342"/>
      <c r="V19" s="342"/>
      <c r="W19" s="342"/>
      <c r="X19" s="1065"/>
      <c r="Y19" s="1058"/>
      <c r="Z19" s="343"/>
      <c r="AA19" s="343"/>
      <c r="AB19" s="343"/>
      <c r="AC19" s="343"/>
      <c r="AD19" s="343"/>
      <c r="AE19" s="343"/>
      <c r="AF19" s="343"/>
      <c r="AG19" s="343"/>
      <c r="AH19" s="343"/>
      <c r="AI19" s="343"/>
      <c r="AJ19" s="343"/>
      <c r="AK19" s="343"/>
      <c r="AL19" s="343"/>
      <c r="AM19" s="343"/>
      <c r="AN19" s="343"/>
      <c r="AO19" s="343"/>
      <c r="AP19" s="343"/>
      <c r="AQ19" s="343"/>
      <c r="AR19" s="343"/>
      <c r="AS19" s="343"/>
      <c r="AT19" s="343"/>
      <c r="AU19" s="343"/>
      <c r="AV19" s="343"/>
      <c r="AW19" s="343"/>
      <c r="AX19" s="343"/>
      <c r="AY19" s="343"/>
      <c r="AZ19" s="343"/>
      <c r="BA19" s="343"/>
      <c r="BB19" s="343"/>
      <c r="BC19" s="343"/>
      <c r="BD19" s="343"/>
      <c r="BE19" s="343"/>
      <c r="BF19" s="343"/>
      <c r="BG19" s="343"/>
      <c r="BH19" s="343"/>
      <c r="BI19" s="343"/>
      <c r="BJ19" s="343"/>
      <c r="BK19" s="343"/>
      <c r="BL19" s="343"/>
      <c r="BM19" s="343"/>
      <c r="BN19" s="343"/>
      <c r="BO19" s="343"/>
      <c r="BP19" s="343"/>
      <c r="BQ19" s="343"/>
      <c r="BR19" s="343"/>
      <c r="BS19" s="343"/>
      <c r="BT19" s="343"/>
      <c r="BU19" s="343"/>
      <c r="BV19" s="343"/>
      <c r="BW19" s="343"/>
      <c r="BX19" s="343"/>
      <c r="BY19" s="343"/>
      <c r="BZ19" s="343"/>
      <c r="CA19" s="343"/>
      <c r="CB19" s="984"/>
    </row>
    <row r="20" spans="1:80" x14ac:dyDescent="0.2">
      <c r="A20" s="185"/>
      <c r="B20" s="365"/>
      <c r="C20" s="348"/>
      <c r="D20" s="341"/>
      <c r="E20" s="580"/>
      <c r="F20" s="580"/>
      <c r="G20" s="349"/>
      <c r="H20" s="349"/>
      <c r="I20" s="349"/>
      <c r="J20" s="587"/>
      <c r="K20" s="587"/>
      <c r="L20" s="588"/>
      <c r="M20" s="259"/>
      <c r="N20" s="575"/>
      <c r="O20" s="1064"/>
      <c r="P20" s="725"/>
      <c r="Q20" s="725"/>
      <c r="R20" s="725"/>
      <c r="S20" s="725"/>
      <c r="T20" s="725"/>
      <c r="U20" s="342"/>
      <c r="V20" s="342"/>
      <c r="W20" s="342"/>
      <c r="X20" s="1065"/>
      <c r="Y20" s="1058"/>
      <c r="Z20" s="343"/>
      <c r="AA20" s="343"/>
      <c r="AB20" s="343"/>
      <c r="AC20" s="343"/>
      <c r="AD20" s="343"/>
      <c r="AE20" s="343"/>
      <c r="AF20" s="343"/>
      <c r="AG20" s="343"/>
      <c r="AH20" s="343"/>
      <c r="AI20" s="343"/>
      <c r="AJ20" s="343"/>
      <c r="AK20" s="343"/>
      <c r="AL20" s="343"/>
      <c r="AM20" s="343"/>
      <c r="AN20" s="343"/>
      <c r="AO20" s="343"/>
      <c r="AP20" s="343"/>
      <c r="AQ20" s="343"/>
      <c r="AR20" s="343"/>
      <c r="AS20" s="343"/>
      <c r="AT20" s="343"/>
      <c r="AU20" s="343"/>
      <c r="AV20" s="343"/>
      <c r="AW20" s="343"/>
      <c r="AX20" s="343"/>
      <c r="AY20" s="343"/>
      <c r="AZ20" s="343"/>
      <c r="BA20" s="343"/>
      <c r="BB20" s="343"/>
      <c r="BC20" s="343"/>
      <c r="BD20" s="343"/>
      <c r="BE20" s="343"/>
      <c r="BF20" s="343"/>
      <c r="BG20" s="343"/>
      <c r="BH20" s="343"/>
      <c r="BI20" s="343"/>
      <c r="BJ20" s="343"/>
      <c r="BK20" s="343"/>
      <c r="BL20" s="343"/>
      <c r="BM20" s="343"/>
      <c r="BN20" s="343"/>
      <c r="BO20" s="343"/>
      <c r="BP20" s="343"/>
      <c r="BQ20" s="343"/>
      <c r="BR20" s="343"/>
      <c r="BS20" s="343"/>
      <c r="BT20" s="343"/>
      <c r="BU20" s="343"/>
      <c r="BV20" s="343"/>
      <c r="BW20" s="343"/>
      <c r="BX20" s="343"/>
      <c r="BY20" s="343"/>
      <c r="BZ20" s="343"/>
      <c r="CA20" s="343"/>
      <c r="CB20" s="984"/>
    </row>
    <row r="21" spans="1:80" x14ac:dyDescent="0.2">
      <c r="A21" s="185"/>
      <c r="B21" s="365"/>
      <c r="C21" s="348"/>
      <c r="D21" s="341"/>
      <c r="E21" s="580"/>
      <c r="F21" s="580"/>
      <c r="G21" s="349"/>
      <c r="H21" s="349"/>
      <c r="I21" s="349"/>
      <c r="J21" s="587"/>
      <c r="K21" s="587"/>
      <c r="L21" s="588"/>
      <c r="M21" s="259"/>
      <c r="N21" s="575"/>
      <c r="O21" s="1064"/>
      <c r="P21" s="725"/>
      <c r="Q21" s="725"/>
      <c r="R21" s="725"/>
      <c r="S21" s="725"/>
      <c r="T21" s="725"/>
      <c r="U21" s="342"/>
      <c r="V21" s="342"/>
      <c r="W21" s="342"/>
      <c r="X21" s="1065"/>
      <c r="Y21" s="1058"/>
      <c r="Z21" s="343"/>
      <c r="AA21" s="343"/>
      <c r="AB21" s="343"/>
      <c r="AC21" s="343"/>
      <c r="AD21" s="343"/>
      <c r="AE21" s="343"/>
      <c r="AF21" s="343"/>
      <c r="AG21" s="343"/>
      <c r="AH21" s="343"/>
      <c r="AI21" s="343"/>
      <c r="AJ21" s="343"/>
      <c r="AK21" s="343"/>
      <c r="AL21" s="343"/>
      <c r="AM21" s="343"/>
      <c r="AN21" s="343"/>
      <c r="AO21" s="343"/>
      <c r="AP21" s="343"/>
      <c r="AQ21" s="343"/>
      <c r="AR21" s="343"/>
      <c r="AS21" s="343"/>
      <c r="AT21" s="343"/>
      <c r="AU21" s="343"/>
      <c r="AV21" s="343"/>
      <c r="AW21" s="343"/>
      <c r="AX21" s="343"/>
      <c r="AY21" s="343"/>
      <c r="AZ21" s="343"/>
      <c r="BA21" s="343"/>
      <c r="BB21" s="343"/>
      <c r="BC21" s="343"/>
      <c r="BD21" s="343"/>
      <c r="BE21" s="343"/>
      <c r="BF21" s="343"/>
      <c r="BG21" s="343"/>
      <c r="BH21" s="343"/>
      <c r="BI21" s="343"/>
      <c r="BJ21" s="343"/>
      <c r="BK21" s="343"/>
      <c r="BL21" s="343"/>
      <c r="BM21" s="343"/>
      <c r="BN21" s="343"/>
      <c r="BO21" s="343"/>
      <c r="BP21" s="343"/>
      <c r="BQ21" s="343"/>
      <c r="BR21" s="343"/>
      <c r="BS21" s="343"/>
      <c r="BT21" s="343"/>
      <c r="BU21" s="343"/>
      <c r="BV21" s="343"/>
      <c r="BW21" s="343"/>
      <c r="BX21" s="343"/>
      <c r="BY21" s="343"/>
      <c r="BZ21" s="343"/>
      <c r="CA21" s="343"/>
      <c r="CB21" s="984"/>
    </row>
    <row r="22" spans="1:80" x14ac:dyDescent="0.2">
      <c r="A22" s="185"/>
      <c r="B22" s="365"/>
      <c r="C22" s="348"/>
      <c r="D22" s="341"/>
      <c r="E22" s="580"/>
      <c r="F22" s="580"/>
      <c r="G22" s="349"/>
      <c r="H22" s="349"/>
      <c r="I22" s="349"/>
      <c r="J22" s="587"/>
      <c r="K22" s="587"/>
      <c r="L22" s="588"/>
      <c r="M22" s="259"/>
      <c r="N22" s="575"/>
      <c r="O22" s="1064"/>
      <c r="P22" s="725"/>
      <c r="Q22" s="725"/>
      <c r="R22" s="725"/>
      <c r="S22" s="725"/>
      <c r="T22" s="725"/>
      <c r="U22" s="342"/>
      <c r="V22" s="342"/>
      <c r="W22" s="342"/>
      <c r="X22" s="1065"/>
      <c r="Y22" s="1058"/>
      <c r="Z22" s="343"/>
      <c r="AA22" s="343"/>
      <c r="AB22" s="343"/>
      <c r="AC22" s="343"/>
      <c r="AD22" s="343"/>
      <c r="AE22" s="343"/>
      <c r="AF22" s="343"/>
      <c r="AG22" s="343"/>
      <c r="AH22" s="343"/>
      <c r="AI22" s="343"/>
      <c r="AJ22" s="343"/>
      <c r="AK22" s="343"/>
      <c r="AL22" s="343"/>
      <c r="AM22" s="343"/>
      <c r="AN22" s="343"/>
      <c r="AO22" s="343"/>
      <c r="AP22" s="343"/>
      <c r="AQ22" s="343"/>
      <c r="AR22" s="343"/>
      <c r="AS22" s="343"/>
      <c r="AT22" s="343"/>
      <c r="AU22" s="343"/>
      <c r="AV22" s="343"/>
      <c r="AW22" s="343"/>
      <c r="AX22" s="343"/>
      <c r="AY22" s="343"/>
      <c r="AZ22" s="343"/>
      <c r="BA22" s="343"/>
      <c r="BB22" s="343"/>
      <c r="BC22" s="343"/>
      <c r="BD22" s="343"/>
      <c r="BE22" s="343"/>
      <c r="BF22" s="343"/>
      <c r="BG22" s="343"/>
      <c r="BH22" s="343"/>
      <c r="BI22" s="343"/>
      <c r="BJ22" s="343"/>
      <c r="BK22" s="343"/>
      <c r="BL22" s="343"/>
      <c r="BM22" s="343"/>
      <c r="BN22" s="343"/>
      <c r="BO22" s="343"/>
      <c r="BP22" s="343"/>
      <c r="BQ22" s="343"/>
      <c r="BR22" s="343"/>
      <c r="BS22" s="343"/>
      <c r="BT22" s="343"/>
      <c r="BU22" s="343"/>
      <c r="BV22" s="343"/>
      <c r="BW22" s="343"/>
      <c r="BX22" s="343"/>
      <c r="BY22" s="343"/>
      <c r="BZ22" s="343"/>
      <c r="CA22" s="343"/>
      <c r="CB22" s="984"/>
    </row>
    <row r="23" spans="1:80" x14ac:dyDescent="0.2">
      <c r="A23" s="185"/>
      <c r="B23" s="365"/>
      <c r="C23" s="348"/>
      <c r="D23" s="341"/>
      <c r="E23" s="580"/>
      <c r="F23" s="580"/>
      <c r="G23" s="349"/>
      <c r="H23" s="349"/>
      <c r="I23" s="349"/>
      <c r="J23" s="587"/>
      <c r="K23" s="587"/>
      <c r="L23" s="588"/>
      <c r="M23" s="259"/>
      <c r="N23" s="575"/>
      <c r="O23" s="1064"/>
      <c r="P23" s="725"/>
      <c r="Q23" s="725"/>
      <c r="R23" s="725"/>
      <c r="S23" s="725"/>
      <c r="T23" s="725"/>
      <c r="U23" s="342"/>
      <c r="V23" s="342"/>
      <c r="W23" s="342"/>
      <c r="X23" s="1065"/>
      <c r="Y23" s="1058"/>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343"/>
      <c r="AW23" s="343"/>
      <c r="AX23" s="343"/>
      <c r="AY23" s="343"/>
      <c r="AZ23" s="343"/>
      <c r="BA23" s="343"/>
      <c r="BB23" s="343"/>
      <c r="BC23" s="343"/>
      <c r="BD23" s="343"/>
      <c r="BE23" s="343"/>
      <c r="BF23" s="343"/>
      <c r="BG23" s="343"/>
      <c r="BH23" s="343"/>
      <c r="BI23" s="343"/>
      <c r="BJ23" s="343"/>
      <c r="BK23" s="343"/>
      <c r="BL23" s="343"/>
      <c r="BM23" s="343"/>
      <c r="BN23" s="343"/>
      <c r="BO23" s="343"/>
      <c r="BP23" s="343"/>
      <c r="BQ23" s="343"/>
      <c r="BR23" s="343"/>
      <c r="BS23" s="343"/>
      <c r="BT23" s="343"/>
      <c r="BU23" s="343"/>
      <c r="BV23" s="343"/>
      <c r="BW23" s="343"/>
      <c r="BX23" s="343"/>
      <c r="BY23" s="343"/>
      <c r="BZ23" s="343"/>
      <c r="CA23" s="343"/>
      <c r="CB23" s="984"/>
    </row>
    <row r="24" spans="1:80" x14ac:dyDescent="0.2">
      <c r="A24" s="185"/>
      <c r="B24" s="365"/>
      <c r="C24" s="348"/>
      <c r="D24" s="341"/>
      <c r="E24" s="580"/>
      <c r="F24" s="580"/>
      <c r="G24" s="349"/>
      <c r="H24" s="349"/>
      <c r="I24" s="349"/>
      <c r="J24" s="587"/>
      <c r="K24" s="587"/>
      <c r="L24" s="588"/>
      <c r="M24" s="259"/>
      <c r="N24" s="575"/>
      <c r="O24" s="1064"/>
      <c r="P24" s="725"/>
      <c r="Q24" s="725"/>
      <c r="R24" s="725"/>
      <c r="S24" s="725"/>
      <c r="T24" s="725"/>
      <c r="U24" s="342"/>
      <c r="V24" s="342"/>
      <c r="W24" s="342"/>
      <c r="X24" s="1065"/>
      <c r="Y24" s="1058"/>
      <c r="Z24" s="343"/>
      <c r="AA24" s="343"/>
      <c r="AB24" s="343"/>
      <c r="AC24" s="343"/>
      <c r="AD24" s="343"/>
      <c r="AE24" s="343"/>
      <c r="AF24" s="343"/>
      <c r="AG24" s="343"/>
      <c r="AH24" s="343"/>
      <c r="AI24" s="343"/>
      <c r="AJ24" s="343"/>
      <c r="AK24" s="343"/>
      <c r="AL24" s="343"/>
      <c r="AM24" s="343"/>
      <c r="AN24" s="343"/>
      <c r="AO24" s="343"/>
      <c r="AP24" s="343"/>
      <c r="AQ24" s="343"/>
      <c r="AR24" s="343"/>
      <c r="AS24" s="343"/>
      <c r="AT24" s="343"/>
      <c r="AU24" s="343"/>
      <c r="AV24" s="343"/>
      <c r="AW24" s="343"/>
      <c r="AX24" s="343"/>
      <c r="AY24" s="343"/>
      <c r="AZ24" s="343"/>
      <c r="BA24" s="343"/>
      <c r="BB24" s="343"/>
      <c r="BC24" s="343"/>
      <c r="BD24" s="343"/>
      <c r="BE24" s="343"/>
      <c r="BF24" s="343"/>
      <c r="BG24" s="343"/>
      <c r="BH24" s="343"/>
      <c r="BI24" s="343"/>
      <c r="BJ24" s="343"/>
      <c r="BK24" s="343"/>
      <c r="BL24" s="343"/>
      <c r="BM24" s="343"/>
      <c r="BN24" s="343"/>
      <c r="BO24" s="343"/>
      <c r="BP24" s="343"/>
      <c r="BQ24" s="343"/>
      <c r="BR24" s="343"/>
      <c r="BS24" s="343"/>
      <c r="BT24" s="343"/>
      <c r="BU24" s="343"/>
      <c r="BV24" s="343"/>
      <c r="BW24" s="343"/>
      <c r="BX24" s="343"/>
      <c r="BY24" s="343"/>
      <c r="BZ24" s="343"/>
      <c r="CA24" s="343"/>
      <c r="CB24" s="984"/>
    </row>
    <row r="25" spans="1:80" x14ac:dyDescent="0.2">
      <c r="A25" s="185"/>
      <c r="B25" s="365"/>
      <c r="C25" s="348"/>
      <c r="D25" s="341"/>
      <c r="E25" s="580"/>
      <c r="F25" s="580"/>
      <c r="G25" s="349"/>
      <c r="H25" s="349"/>
      <c r="I25" s="349"/>
      <c r="J25" s="587"/>
      <c r="K25" s="587"/>
      <c r="L25" s="588"/>
      <c r="M25" s="259"/>
      <c r="N25" s="575"/>
      <c r="O25" s="1064"/>
      <c r="P25" s="725"/>
      <c r="Q25" s="725"/>
      <c r="R25" s="725"/>
      <c r="S25" s="725"/>
      <c r="T25" s="725"/>
      <c r="U25" s="342"/>
      <c r="V25" s="342"/>
      <c r="W25" s="342"/>
      <c r="X25" s="1065"/>
      <c r="Y25" s="1058"/>
      <c r="Z25" s="343"/>
      <c r="AA25" s="343"/>
      <c r="AB25" s="343"/>
      <c r="AC25" s="343"/>
      <c r="AD25" s="343"/>
      <c r="AE25" s="343"/>
      <c r="AF25" s="343"/>
      <c r="AG25" s="343"/>
      <c r="AH25" s="343"/>
      <c r="AI25" s="343"/>
      <c r="AJ25" s="343"/>
      <c r="AK25" s="343"/>
      <c r="AL25" s="343"/>
      <c r="AM25" s="343"/>
      <c r="AN25" s="343"/>
      <c r="AO25" s="343"/>
      <c r="AP25" s="343"/>
      <c r="AQ25" s="343"/>
      <c r="AR25" s="343"/>
      <c r="AS25" s="343"/>
      <c r="AT25" s="343"/>
      <c r="AU25" s="343"/>
      <c r="AV25" s="343"/>
      <c r="AW25" s="343"/>
      <c r="AX25" s="343"/>
      <c r="AY25" s="343"/>
      <c r="AZ25" s="343"/>
      <c r="BA25" s="343"/>
      <c r="BB25" s="343"/>
      <c r="BC25" s="343"/>
      <c r="BD25" s="343"/>
      <c r="BE25" s="343"/>
      <c r="BF25" s="343"/>
      <c r="BG25" s="343"/>
      <c r="BH25" s="343"/>
      <c r="BI25" s="343"/>
      <c r="BJ25" s="343"/>
      <c r="BK25" s="343"/>
      <c r="BL25" s="343"/>
      <c r="BM25" s="343"/>
      <c r="BN25" s="343"/>
      <c r="BO25" s="343"/>
      <c r="BP25" s="343"/>
      <c r="BQ25" s="343"/>
      <c r="BR25" s="343"/>
      <c r="BS25" s="343"/>
      <c r="BT25" s="343"/>
      <c r="BU25" s="343"/>
      <c r="BV25" s="343"/>
      <c r="BW25" s="343"/>
      <c r="BX25" s="343"/>
      <c r="BY25" s="343"/>
      <c r="BZ25" s="343"/>
      <c r="CA25" s="343"/>
      <c r="CB25" s="984"/>
    </row>
    <row r="26" spans="1:80" ht="13.5" thickBot="1" x14ac:dyDescent="0.25">
      <c r="A26" s="215"/>
      <c r="B26" s="366"/>
      <c r="C26" s="344"/>
      <c r="D26" s="344"/>
      <c r="E26" s="581"/>
      <c r="F26" s="581"/>
      <c r="G26" s="345"/>
      <c r="H26" s="345"/>
      <c r="I26" s="345"/>
      <c r="J26" s="589"/>
      <c r="K26" s="589"/>
      <c r="L26" s="590"/>
      <c r="M26" s="576"/>
      <c r="N26" s="577"/>
      <c r="O26" s="1066"/>
      <c r="P26" s="726"/>
      <c r="Q26" s="726"/>
      <c r="R26" s="726"/>
      <c r="S26" s="726"/>
      <c r="T26" s="726"/>
      <c r="U26" s="346"/>
      <c r="V26" s="346"/>
      <c r="W26" s="346"/>
      <c r="X26" s="1067"/>
      <c r="Y26" s="1059"/>
      <c r="Z26" s="347"/>
      <c r="AA26" s="347"/>
      <c r="AB26" s="347"/>
      <c r="AC26" s="347"/>
      <c r="AD26" s="347"/>
      <c r="AE26" s="347"/>
      <c r="AF26" s="347"/>
      <c r="AG26" s="347"/>
      <c r="AH26" s="347"/>
      <c r="AI26" s="347"/>
      <c r="AJ26" s="347"/>
      <c r="AK26" s="347"/>
      <c r="AL26" s="347"/>
      <c r="AM26" s="347"/>
      <c r="AN26" s="347"/>
      <c r="AO26" s="347"/>
      <c r="AP26" s="347"/>
      <c r="AQ26" s="347"/>
      <c r="AR26" s="347"/>
      <c r="AS26" s="347"/>
      <c r="AT26" s="347"/>
      <c r="AU26" s="347"/>
      <c r="AV26" s="347"/>
      <c r="AW26" s="347"/>
      <c r="AX26" s="347"/>
      <c r="AY26" s="347"/>
      <c r="AZ26" s="347"/>
      <c r="BA26" s="347"/>
      <c r="BB26" s="347"/>
      <c r="BC26" s="347"/>
      <c r="BD26" s="347"/>
      <c r="BE26" s="347"/>
      <c r="BF26" s="347"/>
      <c r="BG26" s="347"/>
      <c r="BH26" s="347"/>
      <c r="BI26" s="347"/>
      <c r="BJ26" s="347"/>
      <c r="BK26" s="347"/>
      <c r="BL26" s="347"/>
      <c r="BM26" s="347"/>
      <c r="BN26" s="347"/>
      <c r="BO26" s="347"/>
      <c r="BP26" s="347"/>
      <c r="BQ26" s="347"/>
      <c r="BR26" s="347"/>
      <c r="BS26" s="347"/>
      <c r="BT26" s="347"/>
      <c r="BU26" s="347"/>
      <c r="BV26" s="347"/>
      <c r="BW26" s="347"/>
      <c r="BX26" s="347"/>
      <c r="BY26" s="347"/>
      <c r="BZ26" s="347"/>
      <c r="CA26" s="347"/>
      <c r="CB26" s="985"/>
    </row>
    <row r="27" spans="1:80" x14ac:dyDescent="0.2">
      <c r="B27" s="60"/>
      <c r="C27" s="6"/>
      <c r="D27" s="3"/>
      <c r="I27" s="1"/>
      <c r="L27"/>
      <c r="W27" s="22"/>
      <c r="X27" s="6"/>
    </row>
    <row r="28" spans="1:80" x14ac:dyDescent="0.2">
      <c r="B28" s="5"/>
      <c r="C28" s="6" t="str">
        <f>"Distances "  &amp; MAX(D3:D26)/mileageFactor &amp; " to " &amp; MIN(D3:D26)/mileageFactor&amp; " miles"</f>
        <v>Distances 62 to 36 miles</v>
      </c>
      <c r="D28" s="3"/>
      <c r="I28" s="1"/>
      <c r="L28"/>
      <c r="W28" s="22"/>
      <c r="X28" s="6"/>
      <c r="Y28" s="1098"/>
    </row>
    <row r="29" spans="1:80" ht="13.5" thickBot="1" x14ac:dyDescent="0.25">
      <c r="B29" s="5"/>
      <c r="C29" s="6"/>
      <c r="D29" s="3"/>
      <c r="I29" s="1"/>
      <c r="L29"/>
      <c r="W29" s="22"/>
      <c r="X29" s="6"/>
    </row>
    <row r="30" spans="1:80" ht="13.5" thickBot="1" x14ac:dyDescent="0.25">
      <c r="A30" s="1270" t="s">
        <v>343</v>
      </c>
      <c r="B30" s="1271"/>
    </row>
    <row r="31" spans="1:80" x14ac:dyDescent="0.2">
      <c r="A31" s="337" t="s">
        <v>338</v>
      </c>
      <c r="B31" s="847" t="s">
        <v>548</v>
      </c>
    </row>
    <row r="32" spans="1:80" x14ac:dyDescent="0.2">
      <c r="A32" s="338" t="s">
        <v>339</v>
      </c>
      <c r="B32" s="848" t="s">
        <v>550</v>
      </c>
      <c r="M32" s="64"/>
    </row>
    <row r="33" spans="1:2" x14ac:dyDescent="0.2">
      <c r="A33" s="338" t="s">
        <v>340</v>
      </c>
      <c r="B33" s="848">
        <v>9</v>
      </c>
    </row>
    <row r="34" spans="1:2" x14ac:dyDescent="0.2">
      <c r="A34" s="338" t="s">
        <v>341</v>
      </c>
      <c r="B34" s="848">
        <v>12</v>
      </c>
    </row>
    <row r="35" spans="1:2" ht="13.5" thickBot="1" x14ac:dyDescent="0.25">
      <c r="A35" s="339" t="s">
        <v>342</v>
      </c>
      <c r="B35" s="340" t="s">
        <v>611</v>
      </c>
    </row>
  </sheetData>
  <mergeCells count="1">
    <mergeCell ref="A30:B30"/>
  </mergeCells>
  <phoneticPr fontId="0" type="noConversion"/>
  <pageMargins left="0.75" right="0.75" top="1" bottom="1" header="0.5" footer="0.5"/>
  <pageSetup orientation="portrait" horizontalDpi="300" verticalDpi="300"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FF0000"/>
  </sheetPr>
  <dimension ref="A1:S29"/>
  <sheetViews>
    <sheetView zoomScale="90" zoomScaleNormal="90" workbookViewId="0">
      <pane xSplit="1" ySplit="2" topLeftCell="B3" activePane="bottomRight" state="frozenSplit"/>
      <selection activeCell="AK38" sqref="AK38"/>
      <selection pane="topRight" activeCell="AK38" sqref="AK38"/>
      <selection pane="bottomLeft" activeCell="AK38" sqref="AK38"/>
      <selection pane="bottomRight" activeCell="A26" sqref="A15:XFD26"/>
    </sheetView>
  </sheetViews>
  <sheetFormatPr defaultRowHeight="12.75" x14ac:dyDescent="0.2"/>
  <cols>
    <col min="1" max="1" width="8.5703125" style="2" customWidth="1"/>
    <col min="2" max="3" width="11.7109375" style="1" customWidth="1"/>
    <col min="4" max="6" width="9.140625" style="1" customWidth="1"/>
    <col min="7" max="7" width="11.140625" style="1" customWidth="1"/>
    <col min="8" max="8" width="9.140625" style="1" customWidth="1"/>
    <col min="9" max="9" width="9.28515625" style="3" bestFit="1" customWidth="1"/>
    <col min="10" max="12" width="10" style="1" customWidth="1"/>
    <col min="13" max="19" width="9.140625" style="1" customWidth="1"/>
  </cols>
  <sheetData>
    <row r="1" spans="1:19" ht="13.5" thickBot="1" x14ac:dyDescent="0.25">
      <c r="A1" s="509"/>
      <c r="B1" s="359"/>
      <c r="C1" s="360"/>
      <c r="D1" s="361"/>
      <c r="E1" s="361"/>
      <c r="F1" s="361"/>
      <c r="G1" s="361"/>
      <c r="H1" s="361"/>
      <c r="I1" s="362"/>
      <c r="J1" s="358"/>
      <c r="K1" s="358"/>
      <c r="L1" s="358"/>
      <c r="M1" s="1272" t="s">
        <v>315</v>
      </c>
      <c r="N1" s="1273"/>
      <c r="O1" s="1274"/>
      <c r="P1" s="1275" t="s">
        <v>316</v>
      </c>
      <c r="Q1" s="1276"/>
      <c r="R1" s="1276"/>
      <c r="S1" s="1277"/>
    </row>
    <row r="2" spans="1:19" s="4" customFormat="1" ht="42" customHeight="1" thickBot="1" x14ac:dyDescent="0.3">
      <c r="A2" s="727" t="s">
        <v>1</v>
      </c>
      <c r="B2" s="729" t="s">
        <v>378</v>
      </c>
      <c r="C2" s="730" t="s">
        <v>377</v>
      </c>
      <c r="D2" s="561" t="s">
        <v>31</v>
      </c>
      <c r="E2" s="562" t="s">
        <v>3</v>
      </c>
      <c r="F2" s="562" t="s">
        <v>318</v>
      </c>
      <c r="G2" s="562" t="s">
        <v>5</v>
      </c>
      <c r="H2" s="563" t="s">
        <v>4</v>
      </c>
      <c r="I2" s="560" t="s">
        <v>319</v>
      </c>
      <c r="J2" s="541" t="s">
        <v>320</v>
      </c>
      <c r="K2" s="541" t="s">
        <v>326</v>
      </c>
      <c r="L2" s="542" t="s">
        <v>321</v>
      </c>
      <c r="M2" s="535" t="s">
        <v>11</v>
      </c>
      <c r="N2" s="536" t="s">
        <v>12</v>
      </c>
      <c r="O2" s="537" t="s">
        <v>10</v>
      </c>
      <c r="P2" s="529" t="s">
        <v>11</v>
      </c>
      <c r="Q2" s="530" t="s">
        <v>13</v>
      </c>
      <c r="R2" s="530" t="s">
        <v>12</v>
      </c>
      <c r="S2" s="531" t="s">
        <v>10</v>
      </c>
    </row>
    <row r="3" spans="1:19" ht="15" customHeight="1" x14ac:dyDescent="0.25">
      <c r="A3" s="728" t="str">
        <f>itineraryCamps!A4</f>
        <v>9-1</v>
      </c>
      <c r="B3" s="555">
        <f>itineraryCamps!DL4</f>
        <v>2</v>
      </c>
      <c r="C3" s="731">
        <f>itineraryCamps!DM4</f>
        <v>2</v>
      </c>
      <c r="D3" s="548" cm="1">
        <f t="array" ref="D3">countcamps(itineraryStaff,numericItinerary($A3))</f>
        <v>5</v>
      </c>
      <c r="E3" s="549" cm="1">
        <f t="array" ref="E3">countcamps(itineraryTrail,numericItinerary($A3))</f>
        <v>5</v>
      </c>
      <c r="F3" s="549" cm="1">
        <f t="array" ref="F3">countcamps(itineraryLayover,numericItinerary($A3))</f>
        <v>2</v>
      </c>
      <c r="G3" s="549">
        <f>D3+E3-F3</f>
        <v>8</v>
      </c>
      <c r="H3" s="550" cm="1">
        <f t="array" ref="H3">countcamps(itineraryDry,numericItinerary($A3))</f>
        <v>0</v>
      </c>
      <c r="I3" s="543">
        <f>MIN(itineraryCamps!AK4:AT4)</f>
        <v>7217</v>
      </c>
      <c r="J3" s="544">
        <f>MAX(itineraryCamps!AK4:AT4)</f>
        <v>9330</v>
      </c>
      <c r="K3" s="544">
        <f>J3-I3</f>
        <v>2113</v>
      </c>
      <c r="L3" s="545">
        <f>AVERAGE(itineraryCamps!AU4:BC4)</f>
        <v>727.83333333333337</v>
      </c>
      <c r="M3" s="538" t="str" cm="1">
        <f t="array" ref="M3">contains(M$2,numericItinerary($A3),itineraryMaps)</f>
        <v>Y</v>
      </c>
      <c r="N3" s="539" t="str" cm="1">
        <f t="array" ref="N3">contains(N$2,numericItinerary($A3),itineraryMaps)</f>
        <v/>
      </c>
      <c r="O3" s="540" t="str" cm="1">
        <f t="array" ref="O3">contains(O$2,numericItinerary($A3),itineraryMaps)</f>
        <v/>
      </c>
      <c r="P3" s="532" t="str" cm="1">
        <f t="array" ref="P3">contains(P$2,numericItinerary($A3),itineraryCountry)</f>
        <v>Y</v>
      </c>
      <c r="Q3" s="533" t="str" cm="1">
        <f t="array" ref="Q3">contains(Q$2,numericItinerary($A3),itineraryCountry)</f>
        <v/>
      </c>
      <c r="R3" s="533" t="str" cm="1">
        <f t="array" ref="R3">contains(R$2,numericItinerary($A3),itineraryCountry)</f>
        <v/>
      </c>
      <c r="S3" s="534" t="str" cm="1">
        <f t="array" ref="S3">contains(S$2,numericItinerary($A3),itineraryCountry)</f>
        <v/>
      </c>
    </row>
    <row r="4" spans="1:19" ht="15" customHeight="1" x14ac:dyDescent="0.25">
      <c r="A4" s="700" t="str">
        <f>itineraryCamps!A5</f>
        <v>9-2</v>
      </c>
      <c r="B4" s="556">
        <f>itineraryCamps!DL5</f>
        <v>2</v>
      </c>
      <c r="C4" s="557">
        <f>itineraryCamps!DM5</f>
        <v>2</v>
      </c>
      <c r="D4" s="551" cm="1">
        <f t="array" ref="D4">countcamps(itineraryStaff,numericItinerary($A4))</f>
        <v>3</v>
      </c>
      <c r="E4" s="510" cm="1">
        <f t="array" ref="E4">countcamps(itineraryTrail,numericItinerary($A4))</f>
        <v>7</v>
      </c>
      <c r="F4" s="510" cm="1">
        <f t="array" ref="F4">countcamps(itineraryLayover,numericItinerary($A4))</f>
        <v>2</v>
      </c>
      <c r="G4" s="510">
        <f t="shared" ref="G4:G14" si="0">D4+E4-F4</f>
        <v>8</v>
      </c>
      <c r="H4" s="552" cm="1">
        <f t="array" ref="H4">countcamps(itineraryDry,numericItinerary($A4))</f>
        <v>1</v>
      </c>
      <c r="I4" s="546">
        <f>MIN(itineraryCamps!AK5:AT5)</f>
        <v>7150</v>
      </c>
      <c r="J4" s="511">
        <f>MAX(itineraryCamps!AK5:AT5)</f>
        <v>8515</v>
      </c>
      <c r="K4" s="511">
        <f t="shared" ref="K4:K14" si="1">J4-I4</f>
        <v>1365</v>
      </c>
      <c r="L4" s="512">
        <f>AVERAGE(itineraryCamps!AU5:BC5)</f>
        <v>641.00666666666677</v>
      </c>
      <c r="M4" s="517" t="str" cm="1">
        <f t="array" ref="M4">contains(M$2,numericItinerary($A4),itineraryMaps)</f>
        <v>Y</v>
      </c>
      <c r="N4" s="518" t="str" cm="1">
        <f t="array" ref="N4">contains(N$2,numericItinerary($A4),itineraryMaps)</f>
        <v>Y</v>
      </c>
      <c r="O4" s="519" t="str" cm="1">
        <f t="array" ref="O4">contains(O$2,numericItinerary($A4),itineraryMaps)</f>
        <v/>
      </c>
      <c r="P4" s="523" t="str" cm="1">
        <f t="array" ref="P4">contains(P$2,numericItinerary($A4),itineraryCountry)</f>
        <v/>
      </c>
      <c r="Q4" s="524" t="str" cm="1">
        <f t="array" ref="Q4">contains(Q$2,numericItinerary($A4),itineraryCountry)</f>
        <v>Y</v>
      </c>
      <c r="R4" s="524" t="str" cm="1">
        <f t="array" ref="R4">contains(R$2,numericItinerary($A4),itineraryCountry)</f>
        <v>Y</v>
      </c>
      <c r="S4" s="525" t="str" cm="1">
        <f t="array" ref="S4">contains(S$2,numericItinerary($A4),itineraryCountry)</f>
        <v/>
      </c>
    </row>
    <row r="5" spans="1:19" ht="15" customHeight="1" x14ac:dyDescent="0.25">
      <c r="A5" s="700" t="str">
        <f>itineraryCamps!A6</f>
        <v>9-3</v>
      </c>
      <c r="B5" s="556">
        <f>itineraryCamps!DL6</f>
        <v>1</v>
      </c>
      <c r="C5" s="557">
        <f>itineraryCamps!DM6</f>
        <v>5</v>
      </c>
      <c r="D5" s="551" cm="1">
        <f t="array" ref="D5">countcamps(itineraryStaff,numericItinerary($A5))</f>
        <v>2</v>
      </c>
      <c r="E5" s="510" cm="1">
        <f t="array" ref="E5">countcamps(itineraryTrail,numericItinerary($A5))</f>
        <v>8</v>
      </c>
      <c r="F5" s="510" cm="1">
        <f t="array" ref="F5">countcamps(itineraryLayover,numericItinerary($A5))</f>
        <v>2</v>
      </c>
      <c r="G5" s="510">
        <f t="shared" si="0"/>
        <v>8</v>
      </c>
      <c r="H5" s="552" cm="1">
        <f t="array" ref="H5">countcamps(itineraryDry,numericItinerary($A5))</f>
        <v>3</v>
      </c>
      <c r="I5" s="546">
        <f>MIN(itineraryCamps!AK6:AT6)</f>
        <v>7469</v>
      </c>
      <c r="J5" s="511">
        <f>MAX(itineraryCamps!AK6:AT6)</f>
        <v>10490</v>
      </c>
      <c r="K5" s="511">
        <f t="shared" si="1"/>
        <v>3021</v>
      </c>
      <c r="L5" s="512">
        <f>AVERAGE(itineraryCamps!AU6:BC6)</f>
        <v>1371</v>
      </c>
      <c r="M5" s="517" t="str" cm="1">
        <f t="array" ref="M5">contains(M$2,numericItinerary($A5),itineraryMaps)</f>
        <v>Y</v>
      </c>
      <c r="N5" s="518" t="str" cm="1">
        <f t="array" ref="N5">contains(N$2,numericItinerary($A5),itineraryMaps)</f>
        <v/>
      </c>
      <c r="O5" s="519" t="str" cm="1">
        <f t="array" ref="O5">contains(O$2,numericItinerary($A5),itineraryMaps)</f>
        <v/>
      </c>
      <c r="P5" s="523" t="str" cm="1">
        <f t="array" ref="P5">contains(P$2,numericItinerary($A5),itineraryCountry)</f>
        <v/>
      </c>
      <c r="Q5" s="524" t="str" cm="1">
        <f t="array" ref="Q5">contains(Q$2,numericItinerary($A5),itineraryCountry)</f>
        <v>Y</v>
      </c>
      <c r="R5" s="524" t="str" cm="1">
        <f t="array" ref="R5">contains(R$2,numericItinerary($A5),itineraryCountry)</f>
        <v/>
      </c>
      <c r="S5" s="525" t="str" cm="1">
        <f t="array" ref="S5">contains(S$2,numericItinerary($A5),itineraryCountry)</f>
        <v/>
      </c>
    </row>
    <row r="6" spans="1:19" ht="15" customHeight="1" x14ac:dyDescent="0.25">
      <c r="A6" s="700" t="str">
        <f>itineraryCamps!A7</f>
        <v>9-4</v>
      </c>
      <c r="B6" s="556">
        <f>itineraryCamps!DL7</f>
        <v>3</v>
      </c>
      <c r="C6" s="557">
        <f>itineraryCamps!DM7</f>
        <v>3</v>
      </c>
      <c r="D6" s="551" cm="1">
        <f t="array" ref="D6">countcamps(itineraryStaff,numericItinerary($A6))</f>
        <v>4</v>
      </c>
      <c r="E6" s="510" cm="1">
        <f t="array" ref="E6">countcamps(itineraryTrail,numericItinerary($A6))</f>
        <v>6</v>
      </c>
      <c r="F6" s="510" cm="1">
        <f t="array" ref="F6">countcamps(itineraryLayover,numericItinerary($A6))</f>
        <v>2</v>
      </c>
      <c r="G6" s="510">
        <f t="shared" si="0"/>
        <v>8</v>
      </c>
      <c r="H6" s="552" cm="1">
        <f t="array" ref="H6">countcamps(itineraryDry,numericItinerary($A6))</f>
        <v>1</v>
      </c>
      <c r="I6" s="546">
        <f>MIN(itineraryCamps!AK7:AT7)</f>
        <v>7217</v>
      </c>
      <c r="J6" s="511">
        <f>MAX(itineraryCamps!AK7:AT7)</f>
        <v>10280</v>
      </c>
      <c r="K6" s="511">
        <f t="shared" si="1"/>
        <v>3063</v>
      </c>
      <c r="L6" s="512">
        <f>AVERAGE(itineraryCamps!AU7:BC7)</f>
        <v>829.16666666666663</v>
      </c>
      <c r="M6" s="517" t="str" cm="1">
        <f t="array" ref="M6">contains(M$2,numericItinerary($A6),itineraryMaps)</f>
        <v>Y</v>
      </c>
      <c r="N6" s="518" t="str" cm="1">
        <f t="array" ref="N6">contains(N$2,numericItinerary($A6),itineraryMaps)</f>
        <v/>
      </c>
      <c r="O6" s="519" t="str" cm="1">
        <f t="array" ref="O6">contains(O$2,numericItinerary($A6),itineraryMaps)</f>
        <v/>
      </c>
      <c r="P6" s="523" t="str" cm="1">
        <f t="array" ref="P6">contains(P$2,numericItinerary($A6),itineraryCountry)</f>
        <v>Y</v>
      </c>
      <c r="Q6" s="524" t="str" cm="1">
        <f t="array" ref="Q6">contains(Q$2,numericItinerary($A6),itineraryCountry)</f>
        <v>Y</v>
      </c>
      <c r="R6" s="524" t="str" cm="1">
        <f t="array" ref="R6">contains(R$2,numericItinerary($A6),itineraryCountry)</f>
        <v/>
      </c>
      <c r="S6" s="525" t="str" cm="1">
        <f t="array" ref="S6">contains(S$2,numericItinerary($A6),itineraryCountry)</f>
        <v/>
      </c>
    </row>
    <row r="7" spans="1:19" ht="15" customHeight="1" x14ac:dyDescent="0.25">
      <c r="A7" s="700" t="str">
        <f>itineraryCamps!A8</f>
        <v>9-5</v>
      </c>
      <c r="B7" s="556">
        <f>itineraryCamps!DL8</f>
        <v>2</v>
      </c>
      <c r="C7" s="557">
        <f>itineraryCamps!DM8</f>
        <v>2</v>
      </c>
      <c r="D7" s="551" cm="1">
        <f t="array" ref="D7">countcamps(itineraryStaff,numericItinerary($A7))</f>
        <v>2</v>
      </c>
      <c r="E7" s="510" cm="1">
        <f t="array" ref="E7">countcamps(itineraryTrail,numericItinerary($A7))</f>
        <v>8</v>
      </c>
      <c r="F7" s="510" cm="1">
        <f t="array" ref="F7">countcamps(itineraryLayover,numericItinerary($A7))</f>
        <v>3</v>
      </c>
      <c r="G7" s="510">
        <f t="shared" si="0"/>
        <v>7</v>
      </c>
      <c r="H7" s="552" cm="1">
        <f t="array" ref="H7">countcamps(itineraryDry,numericItinerary($A7))</f>
        <v>2</v>
      </c>
      <c r="I7" s="546">
        <f>MIN(itineraryCamps!AK8:AT8)</f>
        <v>6979</v>
      </c>
      <c r="J7" s="511">
        <f>MAX(itineraryCamps!AK8:AT8)</f>
        <v>10750</v>
      </c>
      <c r="K7" s="511">
        <f t="shared" si="1"/>
        <v>3771</v>
      </c>
      <c r="L7" s="512">
        <f>AVERAGE(itineraryCamps!AU8:BC8)</f>
        <v>944.33333333333337</v>
      </c>
      <c r="M7" s="517" t="str" cm="1">
        <f t="array" ref="M7">contains(M$2,numericItinerary($A7),itineraryMaps)</f>
        <v/>
      </c>
      <c r="N7" s="518" t="str" cm="1">
        <f t="array" ref="N7">contains(N$2,numericItinerary($A7),itineraryMaps)</f>
        <v>Y</v>
      </c>
      <c r="O7" s="519" t="str" cm="1">
        <f t="array" ref="O7">contains(O$2,numericItinerary($A7),itineraryMaps)</f>
        <v/>
      </c>
      <c r="P7" s="523" t="str" cm="1">
        <f t="array" ref="P7">contains(P$2,numericItinerary($A7),itineraryCountry)</f>
        <v/>
      </c>
      <c r="Q7" s="524" t="str" cm="1">
        <f t="array" ref="Q7">contains(Q$2,numericItinerary($A7),itineraryCountry)</f>
        <v/>
      </c>
      <c r="R7" s="524" t="str" cm="1">
        <f t="array" ref="R7">contains(R$2,numericItinerary($A7),itineraryCountry)</f>
        <v>Y</v>
      </c>
      <c r="S7" s="525" t="str" cm="1">
        <f t="array" ref="S7">contains(S$2,numericItinerary($A7),itineraryCountry)</f>
        <v/>
      </c>
    </row>
    <row r="8" spans="1:19" ht="15" customHeight="1" x14ac:dyDescent="0.25">
      <c r="A8" s="700" t="str">
        <f>itineraryCamps!A9</f>
        <v>9-6</v>
      </c>
      <c r="B8" s="556">
        <f>itineraryCamps!DL9</f>
        <v>2</v>
      </c>
      <c r="C8" s="557">
        <f>itineraryCamps!DM9</f>
        <v>2</v>
      </c>
      <c r="D8" s="551" cm="1">
        <f t="array" ref="D8">countcamps(itineraryStaff,numericItinerary($A8))</f>
        <v>5</v>
      </c>
      <c r="E8" s="510" cm="1">
        <f t="array" ref="E8">countcamps(itineraryTrail,numericItinerary($A8))</f>
        <v>5</v>
      </c>
      <c r="F8" s="510" cm="1">
        <f t="array" ref="F8">countcamps(itineraryLayover,numericItinerary($A8))</f>
        <v>2</v>
      </c>
      <c r="G8" s="510">
        <f t="shared" si="0"/>
        <v>8</v>
      </c>
      <c r="H8" s="552" cm="1">
        <f t="array" ref="H8">countcamps(itineraryDry,numericItinerary($A8))</f>
        <v>1</v>
      </c>
      <c r="I8" s="546">
        <f>MIN(itineraryCamps!AK9:AT9)</f>
        <v>6979</v>
      </c>
      <c r="J8" s="511">
        <f>MAX(itineraryCamps!AK9:AT9)</f>
        <v>8754</v>
      </c>
      <c r="K8" s="511">
        <f t="shared" si="1"/>
        <v>1775</v>
      </c>
      <c r="L8" s="512">
        <f>AVERAGE(itineraryCamps!AU9:BC9)</f>
        <v>786.66666666666663</v>
      </c>
      <c r="M8" s="517" t="str" cm="1">
        <f t="array" ref="M8">contains(M$2,numericItinerary($A8),itineraryMaps)</f>
        <v/>
      </c>
      <c r="N8" s="518" t="str" cm="1">
        <f t="array" ref="N8">contains(N$2,numericItinerary($A8),itineraryMaps)</f>
        <v>Y</v>
      </c>
      <c r="O8" s="519" t="str" cm="1">
        <f t="array" ref="O8">contains(O$2,numericItinerary($A8),itineraryMaps)</f>
        <v/>
      </c>
      <c r="P8" s="523" t="str" cm="1">
        <f t="array" ref="P8">contains(P$2,numericItinerary($A8),itineraryCountry)</f>
        <v/>
      </c>
      <c r="Q8" s="524" t="str" cm="1">
        <f t="array" ref="Q8">contains(Q$2,numericItinerary($A8),itineraryCountry)</f>
        <v/>
      </c>
      <c r="R8" s="524" t="str" cm="1">
        <f t="array" ref="R8">contains(R$2,numericItinerary($A8),itineraryCountry)</f>
        <v>Y</v>
      </c>
      <c r="S8" s="525" t="str" cm="1">
        <f t="array" ref="S8">contains(S$2,numericItinerary($A8),itineraryCountry)</f>
        <v>Y</v>
      </c>
    </row>
    <row r="9" spans="1:19" ht="15" customHeight="1" x14ac:dyDescent="0.25">
      <c r="A9" s="700" t="str">
        <f>itineraryCamps!A10</f>
        <v>9-7</v>
      </c>
      <c r="B9" s="556">
        <f>itineraryCamps!DL10</f>
        <v>2</v>
      </c>
      <c r="C9" s="557">
        <f>itineraryCamps!DM10</f>
        <v>4</v>
      </c>
      <c r="D9" s="551" cm="1">
        <f t="array" ref="D9">countcamps(itineraryStaff,numericItinerary($A9))</f>
        <v>4</v>
      </c>
      <c r="E9" s="510" cm="1">
        <f t="array" ref="E9">countcamps(itineraryTrail,numericItinerary($A9))</f>
        <v>6</v>
      </c>
      <c r="F9" s="510" cm="1">
        <f t="array" ref="F9">countcamps(itineraryLayover,numericItinerary($A9))</f>
        <v>2</v>
      </c>
      <c r="G9" s="510">
        <f t="shared" si="0"/>
        <v>8</v>
      </c>
      <c r="H9" s="552" cm="1">
        <f t="array" ref="H9">countcamps(itineraryDry,numericItinerary($A9))</f>
        <v>1</v>
      </c>
      <c r="I9" s="546">
        <f>MIN(itineraryCamps!AK10:AT10)</f>
        <v>7373</v>
      </c>
      <c r="J9" s="511">
        <f>MAX(itineraryCamps!AK10:AT10)</f>
        <v>11070</v>
      </c>
      <c r="K9" s="511">
        <f t="shared" si="1"/>
        <v>3697</v>
      </c>
      <c r="L9" s="512">
        <f>AVERAGE(itineraryCamps!AU10:BC10)</f>
        <v>1250.5</v>
      </c>
      <c r="M9" s="517" t="str" cm="1">
        <f t="array" ref="M9">contains(M$2,numericItinerary($A9),itineraryMaps)</f>
        <v>Y</v>
      </c>
      <c r="N9" s="518" t="str" cm="1">
        <f t="array" ref="N9">contains(N$2,numericItinerary($A9),itineraryMaps)</f>
        <v>Y</v>
      </c>
      <c r="O9" s="519" t="str" cm="1">
        <f t="array" ref="O9">contains(O$2,numericItinerary($A9),itineraryMaps)</f>
        <v/>
      </c>
      <c r="P9" s="523" t="str" cm="1">
        <f t="array" ref="P9">contains(P$2,numericItinerary($A9),itineraryCountry)</f>
        <v/>
      </c>
      <c r="Q9" s="524" t="str" cm="1">
        <f t="array" ref="Q9">contains(Q$2,numericItinerary($A9),itineraryCountry)</f>
        <v>Y</v>
      </c>
      <c r="R9" s="524" t="str" cm="1">
        <f t="array" ref="R9">contains(R$2,numericItinerary($A9),itineraryCountry)</f>
        <v/>
      </c>
      <c r="S9" s="525" t="str" cm="1">
        <f t="array" ref="S9">contains(S$2,numericItinerary($A9),itineraryCountry)</f>
        <v/>
      </c>
    </row>
    <row r="10" spans="1:19" ht="15" customHeight="1" x14ac:dyDescent="0.25">
      <c r="A10" s="700" t="str">
        <f>itineraryCamps!A11</f>
        <v>9-8</v>
      </c>
      <c r="B10" s="556">
        <f>itineraryCamps!DL11</f>
        <v>2</v>
      </c>
      <c r="C10" s="557">
        <f>itineraryCamps!DM11</f>
        <v>2</v>
      </c>
      <c r="D10" s="551" cm="1">
        <f t="array" ref="D10">countcamps(itineraryStaff,numericItinerary($A10))</f>
        <v>3</v>
      </c>
      <c r="E10" s="513" cm="1">
        <f t="array" ref="E10">countcamps(itineraryTrail,numericItinerary($A10))</f>
        <v>7</v>
      </c>
      <c r="F10" s="510" cm="1">
        <f t="array" ref="F10">countcamps(itineraryLayover,numericItinerary($A10))</f>
        <v>2</v>
      </c>
      <c r="G10" s="510">
        <f t="shared" si="0"/>
        <v>8</v>
      </c>
      <c r="H10" s="552" cm="1">
        <f t="array" ref="H10">countcamps(itineraryDry,numericItinerary($A10))</f>
        <v>1</v>
      </c>
      <c r="I10" s="546">
        <f>MIN(itineraryCamps!AK11:AT11)</f>
        <v>7375</v>
      </c>
      <c r="J10" s="511">
        <f>MAX(itineraryCamps!AK11:AT11)</f>
        <v>9409</v>
      </c>
      <c r="K10" s="511">
        <f t="shared" si="1"/>
        <v>2034</v>
      </c>
      <c r="L10" s="512">
        <f>AVERAGE(itineraryCamps!AU11:BC11)</f>
        <v>654</v>
      </c>
      <c r="M10" s="517" t="str" cm="1">
        <f t="array" ref="M10">contains(M$2,numericItinerary($A10),itineraryMaps)</f>
        <v>Y</v>
      </c>
      <c r="N10" s="518" t="str" cm="1">
        <f t="array" ref="N10">contains(N$2,numericItinerary($A10),itineraryMaps)</f>
        <v/>
      </c>
      <c r="O10" s="519" t="str" cm="1">
        <f t="array" ref="O10">contains(O$2,numericItinerary($A10),itineraryMaps)</f>
        <v/>
      </c>
      <c r="P10" s="523" t="str" cm="1">
        <f t="array" ref="P10">contains(P$2,numericItinerary($A10),itineraryCountry)</f>
        <v>Y</v>
      </c>
      <c r="Q10" s="524" t="str" cm="1">
        <f t="array" ref="Q10">contains(Q$2,numericItinerary($A10),itineraryCountry)</f>
        <v/>
      </c>
      <c r="R10" s="524" t="str" cm="1">
        <f t="array" ref="R10">contains(R$2,numericItinerary($A10),itineraryCountry)</f>
        <v/>
      </c>
      <c r="S10" s="525" t="str" cm="1">
        <f t="array" ref="S10">contains(S$2,numericItinerary($A10),itineraryCountry)</f>
        <v/>
      </c>
    </row>
    <row r="11" spans="1:19" ht="15" customHeight="1" x14ac:dyDescent="0.25">
      <c r="A11" s="700" t="str">
        <f>itineraryCamps!A12</f>
        <v>9-9</v>
      </c>
      <c r="B11" s="556">
        <f>itineraryCamps!DL12</f>
        <v>3</v>
      </c>
      <c r="C11" s="557">
        <f>itineraryCamps!DM12</f>
        <v>3</v>
      </c>
      <c r="D11" s="551" cm="1">
        <f t="array" ref="D11">countcamps(itineraryStaff,numericItinerary($A11))</f>
        <v>3</v>
      </c>
      <c r="E11" s="510" cm="1">
        <f t="array" ref="E11">countcamps(itineraryTrail,numericItinerary($A11))</f>
        <v>7</v>
      </c>
      <c r="F11" s="510" cm="1">
        <f t="array" ref="F11">countcamps(itineraryLayover,numericItinerary($A11))</f>
        <v>2</v>
      </c>
      <c r="G11" s="510">
        <f t="shared" si="0"/>
        <v>8</v>
      </c>
      <c r="H11" s="552" cm="1">
        <f t="array" ref="H11">countcamps(itineraryDry,numericItinerary($A11))</f>
        <v>1</v>
      </c>
      <c r="I11" s="546">
        <f>MIN(itineraryCamps!AK12:AT12)</f>
        <v>7758</v>
      </c>
      <c r="J11" s="511">
        <f>MAX(itineraryCamps!AK12:AT12)</f>
        <v>11650</v>
      </c>
      <c r="K11" s="511">
        <f t="shared" si="1"/>
        <v>3892</v>
      </c>
      <c r="L11" s="512">
        <f>AVERAGE(itineraryCamps!AU12:BC12)</f>
        <v>1294.3333333333333</v>
      </c>
      <c r="M11" s="517" t="str" cm="1">
        <f t="array" ref="M11">contains(M$2,numericItinerary($A11),itineraryMaps)</f>
        <v>Y</v>
      </c>
      <c r="N11" s="518" t="str" cm="1">
        <f t="array" ref="N11">contains(N$2,numericItinerary($A11),itineraryMaps)</f>
        <v/>
      </c>
      <c r="O11" s="519" t="str" cm="1">
        <f t="array" ref="O11">contains(O$2,numericItinerary($A11),itineraryMaps)</f>
        <v/>
      </c>
      <c r="P11" s="523" t="str" cm="1">
        <f t="array" ref="P11">contains(P$2,numericItinerary($A11),itineraryCountry)</f>
        <v>Y</v>
      </c>
      <c r="Q11" s="524" t="str" cm="1">
        <f t="array" ref="Q11">contains(Q$2,numericItinerary($A11),itineraryCountry)</f>
        <v>Y</v>
      </c>
      <c r="R11" s="524" t="str" cm="1">
        <f t="array" ref="R11">contains(R$2,numericItinerary($A11),itineraryCountry)</f>
        <v/>
      </c>
      <c r="S11" s="525" t="str" cm="1">
        <f t="array" ref="S11">contains(S$2,numericItinerary($A11),itineraryCountry)</f>
        <v/>
      </c>
    </row>
    <row r="12" spans="1:19" ht="15" customHeight="1" x14ac:dyDescent="0.25">
      <c r="A12" s="700" t="str">
        <f>itineraryCamps!A13</f>
        <v>9-10</v>
      </c>
      <c r="B12" s="556">
        <f>itineraryCamps!DL13</f>
        <v>2</v>
      </c>
      <c r="C12" s="557">
        <f>itineraryCamps!DM13</f>
        <v>2</v>
      </c>
      <c r="D12" s="551" cm="1">
        <f t="array" ref="D12">countcamps(itineraryStaff,numericItinerary($A12))</f>
        <v>3</v>
      </c>
      <c r="E12" s="510" cm="1">
        <f t="array" ref="E12">countcamps(itineraryTrail,numericItinerary($A12))</f>
        <v>7</v>
      </c>
      <c r="F12" s="510" cm="1">
        <f t="array" ref="F12">countcamps(itineraryLayover,numericItinerary($A12))</f>
        <v>3</v>
      </c>
      <c r="G12" s="510">
        <f t="shared" si="0"/>
        <v>7</v>
      </c>
      <c r="H12" s="552" cm="1">
        <f t="array" ref="H12">countcamps(itineraryDry,numericItinerary($A12))</f>
        <v>2</v>
      </c>
      <c r="I12" s="546">
        <f>MIN(itineraryCamps!AK13:AT13)</f>
        <v>7105</v>
      </c>
      <c r="J12" s="511">
        <f>MAX(itineraryCamps!AK13:AT13)</f>
        <v>10530</v>
      </c>
      <c r="K12" s="511">
        <f t="shared" si="1"/>
        <v>3425</v>
      </c>
      <c r="L12" s="512">
        <f>AVERAGE(itineraryCamps!AU13:BC13)</f>
        <v>842.83333333333337</v>
      </c>
      <c r="M12" s="517" t="str" cm="1">
        <f t="array" ref="M12">contains(M$2,numericItinerary($A12),itineraryMaps)</f>
        <v/>
      </c>
      <c r="N12" s="518" t="str" cm="1">
        <f t="array" ref="N12">contains(N$2,numericItinerary($A12),itineraryMaps)</f>
        <v>Y</v>
      </c>
      <c r="O12" s="519" t="str" cm="1">
        <f t="array" ref="O12">contains(O$2,numericItinerary($A12),itineraryMaps)</f>
        <v/>
      </c>
      <c r="P12" s="523" t="str" cm="1">
        <f t="array" ref="P12">contains(P$2,numericItinerary($A12),itineraryCountry)</f>
        <v/>
      </c>
      <c r="Q12" s="524" t="str" cm="1">
        <f t="array" ref="Q12">contains(Q$2,numericItinerary($A12),itineraryCountry)</f>
        <v/>
      </c>
      <c r="R12" s="524" t="str" cm="1">
        <f t="array" ref="R12">contains(R$2,numericItinerary($A12),itineraryCountry)</f>
        <v>Y</v>
      </c>
      <c r="S12" s="525" t="str" cm="1">
        <f t="array" ref="S12">contains(S$2,numericItinerary($A12),itineraryCountry)</f>
        <v/>
      </c>
    </row>
    <row r="13" spans="1:19" ht="15" customHeight="1" x14ac:dyDescent="0.25">
      <c r="A13" s="700" t="str">
        <f>itineraryCamps!A14</f>
        <v>9-11</v>
      </c>
      <c r="B13" s="556">
        <f>itineraryCamps!DL14</f>
        <v>2</v>
      </c>
      <c r="C13" s="557">
        <f>itineraryCamps!DM14</f>
        <v>2</v>
      </c>
      <c r="D13" s="551" cm="1">
        <f t="array" ref="D13">countcamps(itineraryStaff,numericItinerary($A13))</f>
        <v>1</v>
      </c>
      <c r="E13" s="510" cm="1">
        <f t="array" ref="E13">countcamps(itineraryTrail,numericItinerary($A13))</f>
        <v>9</v>
      </c>
      <c r="F13" s="510" cm="1">
        <f t="array" ref="F13">countcamps(itineraryLayover,numericItinerary($A13))</f>
        <v>3</v>
      </c>
      <c r="G13" s="510">
        <f t="shared" si="0"/>
        <v>7</v>
      </c>
      <c r="H13" s="552" cm="1">
        <f t="array" ref="H13">countcamps(itineraryDry,numericItinerary($A13))</f>
        <v>0</v>
      </c>
      <c r="I13" s="546">
        <f>MIN(itineraryCamps!AK14:AT14)</f>
        <v>7157</v>
      </c>
      <c r="J13" s="511">
        <f>MAX(itineraryCamps!AK14:AT14)</f>
        <v>10530</v>
      </c>
      <c r="K13" s="511">
        <f t="shared" si="1"/>
        <v>3373</v>
      </c>
      <c r="L13" s="512">
        <f>AVERAGE(itineraryCamps!AU14:BC14)</f>
        <v>841.33333333333337</v>
      </c>
      <c r="M13" s="517" t="str" cm="1">
        <f t="array" ref="M13">contains(M$2,numericItinerary($A13),itineraryMaps)</f>
        <v/>
      </c>
      <c r="N13" s="518" t="str" cm="1">
        <f t="array" ref="N13">contains(N$2,numericItinerary($A13),itineraryMaps)</f>
        <v>Y</v>
      </c>
      <c r="O13" s="519" t="str" cm="1">
        <f t="array" ref="O13">contains(O$2,numericItinerary($A13),itineraryMaps)</f>
        <v/>
      </c>
      <c r="P13" s="523" t="str" cm="1">
        <f t="array" ref="P13">contains(P$2,numericItinerary($A13),itineraryCountry)</f>
        <v/>
      </c>
      <c r="Q13" s="524" t="str" cm="1">
        <f t="array" ref="Q13">contains(Q$2,numericItinerary($A13),itineraryCountry)</f>
        <v/>
      </c>
      <c r="R13" s="524" t="str" cm="1">
        <f t="array" ref="R13">contains(R$2,numericItinerary($A13),itineraryCountry)</f>
        <v>Y</v>
      </c>
      <c r="S13" s="525" t="str" cm="1">
        <f t="array" ref="S13">contains(S$2,numericItinerary($A13),itineraryCountry)</f>
        <v>Y</v>
      </c>
    </row>
    <row r="14" spans="1:19" ht="15" customHeight="1" x14ac:dyDescent="0.25">
      <c r="A14" s="700" t="str">
        <f>itineraryCamps!A15</f>
        <v>9-12</v>
      </c>
      <c r="B14" s="556">
        <f>itineraryCamps!DL15</f>
        <v>2</v>
      </c>
      <c r="C14" s="557">
        <f>itineraryCamps!DM15</f>
        <v>2</v>
      </c>
      <c r="D14" s="551" cm="1">
        <f t="array" ref="D14">countcamps(itineraryStaff,numericItinerary($A14))</f>
        <v>3</v>
      </c>
      <c r="E14" s="510" cm="1">
        <f t="array" ref="E14">countcamps(itineraryTrail,numericItinerary($A14))</f>
        <v>7</v>
      </c>
      <c r="F14" s="510" cm="1">
        <f t="array" ref="F14">countcamps(itineraryLayover,numericItinerary($A14))</f>
        <v>2</v>
      </c>
      <c r="G14" s="510">
        <f t="shared" si="0"/>
        <v>8</v>
      </c>
      <c r="H14" s="552" cm="1">
        <f t="array" ref="H14">countcamps(itineraryDry,numericItinerary($A14))</f>
        <v>3</v>
      </c>
      <c r="I14" s="546">
        <f>MIN(itineraryCamps!AK15:AT15)</f>
        <v>7550</v>
      </c>
      <c r="J14" s="511">
        <f>MAX(itineraryCamps!AK15:AT15)</f>
        <v>11650</v>
      </c>
      <c r="K14" s="511">
        <f t="shared" si="1"/>
        <v>4100</v>
      </c>
      <c r="L14" s="512">
        <f>AVERAGE(itineraryCamps!AU15:BC15)</f>
        <v>1230.3333333333333</v>
      </c>
      <c r="M14" s="517" t="str" cm="1">
        <f t="array" ref="M14">contains(M$2,numericItinerary($A14),itineraryMaps)</f>
        <v>Y</v>
      </c>
      <c r="N14" s="518" t="str" cm="1">
        <f t="array" ref="N14">contains(N$2,numericItinerary($A14),itineraryMaps)</f>
        <v/>
      </c>
      <c r="O14" s="519" t="str" cm="1">
        <f t="array" ref="O14">contains(O$2,numericItinerary($A14),itineraryMaps)</f>
        <v/>
      </c>
      <c r="P14" s="523" t="str" cm="1">
        <f t="array" ref="P14">contains(P$2,numericItinerary($A14),itineraryCountry)</f>
        <v>Y</v>
      </c>
      <c r="Q14" s="524" t="str" cm="1">
        <f t="array" ref="Q14">contains(Q$2,numericItinerary($A14),itineraryCountry)</f>
        <v>Y</v>
      </c>
      <c r="R14" s="524" t="str" cm="1">
        <f t="array" ref="R14">contains(R$2,numericItinerary($A14),itineraryCountry)</f>
        <v/>
      </c>
      <c r="S14" s="525" t="str" cm="1">
        <f t="array" ref="S14">contains(S$2,numericItinerary($A14),itineraryCountry)</f>
        <v/>
      </c>
    </row>
    <row r="15" spans="1:19" ht="15" customHeight="1" x14ac:dyDescent="0.25">
      <c r="A15" s="700"/>
      <c r="B15" s="556"/>
      <c r="C15" s="557"/>
      <c r="D15" s="551"/>
      <c r="E15" s="510"/>
      <c r="F15" s="510"/>
      <c r="G15" s="510"/>
      <c r="H15" s="552"/>
      <c r="I15" s="546"/>
      <c r="J15" s="511"/>
      <c r="K15" s="511"/>
      <c r="L15" s="512"/>
      <c r="M15" s="517"/>
      <c r="N15" s="518"/>
      <c r="O15" s="519"/>
      <c r="P15" s="523"/>
      <c r="Q15" s="524"/>
      <c r="R15" s="524"/>
      <c r="S15" s="525"/>
    </row>
    <row r="16" spans="1:19" ht="15" customHeight="1" x14ac:dyDescent="0.25">
      <c r="A16" s="700"/>
      <c r="B16" s="556"/>
      <c r="C16" s="557"/>
      <c r="D16" s="551"/>
      <c r="E16" s="510"/>
      <c r="F16" s="510"/>
      <c r="G16" s="510"/>
      <c r="H16" s="552"/>
      <c r="I16" s="546"/>
      <c r="J16" s="511"/>
      <c r="K16" s="511"/>
      <c r="L16" s="512"/>
      <c r="M16" s="517"/>
      <c r="N16" s="518"/>
      <c r="O16" s="519"/>
      <c r="P16" s="523"/>
      <c r="Q16" s="524"/>
      <c r="R16" s="524"/>
      <c r="S16" s="525"/>
    </row>
    <row r="17" spans="1:19" ht="15" customHeight="1" x14ac:dyDescent="0.25">
      <c r="A17" s="700"/>
      <c r="B17" s="556"/>
      <c r="C17" s="557"/>
      <c r="D17" s="551"/>
      <c r="E17" s="510"/>
      <c r="F17" s="510"/>
      <c r="G17" s="510"/>
      <c r="H17" s="552"/>
      <c r="I17" s="546"/>
      <c r="J17" s="511"/>
      <c r="K17" s="511"/>
      <c r="L17" s="512"/>
      <c r="M17" s="517"/>
      <c r="N17" s="518"/>
      <c r="O17" s="519"/>
      <c r="P17" s="523"/>
      <c r="Q17" s="524"/>
      <c r="R17" s="524"/>
      <c r="S17" s="525"/>
    </row>
    <row r="18" spans="1:19" ht="15" customHeight="1" x14ac:dyDescent="0.25">
      <c r="A18" s="700"/>
      <c r="B18" s="556"/>
      <c r="C18" s="557"/>
      <c r="D18" s="551"/>
      <c r="E18" s="510"/>
      <c r="F18" s="510"/>
      <c r="G18" s="510"/>
      <c r="H18" s="552"/>
      <c r="I18" s="546"/>
      <c r="J18" s="511"/>
      <c r="K18" s="511"/>
      <c r="L18" s="512"/>
      <c r="M18" s="517"/>
      <c r="N18" s="518"/>
      <c r="O18" s="519"/>
      <c r="P18" s="523"/>
      <c r="Q18" s="524"/>
      <c r="R18" s="524"/>
      <c r="S18" s="525"/>
    </row>
    <row r="19" spans="1:19" ht="15" customHeight="1" x14ac:dyDescent="0.25">
      <c r="A19" s="700"/>
      <c r="B19" s="556"/>
      <c r="C19" s="557"/>
      <c r="D19" s="551"/>
      <c r="E19" s="510"/>
      <c r="F19" s="510"/>
      <c r="G19" s="510"/>
      <c r="H19" s="552"/>
      <c r="I19" s="546"/>
      <c r="J19" s="511"/>
      <c r="K19" s="511"/>
      <c r="L19" s="512"/>
      <c r="M19" s="517"/>
      <c r="N19" s="518"/>
      <c r="O19" s="519"/>
      <c r="P19" s="523"/>
      <c r="Q19" s="524"/>
      <c r="R19" s="524"/>
      <c r="S19" s="525"/>
    </row>
    <row r="20" spans="1:19" ht="15" customHeight="1" x14ac:dyDescent="0.25">
      <c r="A20" s="700"/>
      <c r="B20" s="556"/>
      <c r="C20" s="557"/>
      <c r="D20" s="551"/>
      <c r="E20" s="510"/>
      <c r="F20" s="510"/>
      <c r="G20" s="510"/>
      <c r="H20" s="552"/>
      <c r="I20" s="546"/>
      <c r="J20" s="511"/>
      <c r="K20" s="511"/>
      <c r="L20" s="512"/>
      <c r="M20" s="517"/>
      <c r="N20" s="518"/>
      <c r="O20" s="519"/>
      <c r="P20" s="523"/>
      <c r="Q20" s="524"/>
      <c r="R20" s="524"/>
      <c r="S20" s="525"/>
    </row>
    <row r="21" spans="1:19" ht="15" customHeight="1" x14ac:dyDescent="0.25">
      <c r="A21" s="700"/>
      <c r="B21" s="556"/>
      <c r="C21" s="557"/>
      <c r="D21" s="551"/>
      <c r="E21" s="510"/>
      <c r="F21" s="510"/>
      <c r="G21" s="510"/>
      <c r="H21" s="552"/>
      <c r="I21" s="546"/>
      <c r="J21" s="511"/>
      <c r="K21" s="511"/>
      <c r="L21" s="512"/>
      <c r="M21" s="517"/>
      <c r="N21" s="518"/>
      <c r="O21" s="519"/>
      <c r="P21" s="523"/>
      <c r="Q21" s="524"/>
      <c r="R21" s="524"/>
      <c r="S21" s="525"/>
    </row>
    <row r="22" spans="1:19" ht="15" customHeight="1" x14ac:dyDescent="0.25">
      <c r="A22" s="700"/>
      <c r="B22" s="556"/>
      <c r="C22" s="557"/>
      <c r="D22" s="551"/>
      <c r="E22" s="510"/>
      <c r="F22" s="510"/>
      <c r="G22" s="510"/>
      <c r="H22" s="552"/>
      <c r="I22" s="546"/>
      <c r="J22" s="511"/>
      <c r="K22" s="511"/>
      <c r="L22" s="512"/>
      <c r="M22" s="517"/>
      <c r="N22" s="518"/>
      <c r="O22" s="519"/>
      <c r="P22" s="523"/>
      <c r="Q22" s="524"/>
      <c r="R22" s="524"/>
      <c r="S22" s="525"/>
    </row>
    <row r="23" spans="1:19" ht="15" customHeight="1" x14ac:dyDescent="0.25">
      <c r="A23" s="700"/>
      <c r="B23" s="556"/>
      <c r="C23" s="557"/>
      <c r="D23" s="551"/>
      <c r="E23" s="510"/>
      <c r="F23" s="510"/>
      <c r="G23" s="510"/>
      <c r="H23" s="552"/>
      <c r="I23" s="546"/>
      <c r="J23" s="511"/>
      <c r="K23" s="511"/>
      <c r="L23" s="512"/>
      <c r="M23" s="517"/>
      <c r="N23" s="518"/>
      <c r="O23" s="519"/>
      <c r="P23" s="523"/>
      <c r="Q23" s="524"/>
      <c r="R23" s="524"/>
      <c r="S23" s="525"/>
    </row>
    <row r="24" spans="1:19" ht="15" customHeight="1" x14ac:dyDescent="0.25">
      <c r="A24" s="700"/>
      <c r="B24" s="556"/>
      <c r="C24" s="557"/>
      <c r="D24" s="551"/>
      <c r="E24" s="510"/>
      <c r="F24" s="510"/>
      <c r="G24" s="510"/>
      <c r="H24" s="552"/>
      <c r="I24" s="546"/>
      <c r="J24" s="511"/>
      <c r="K24" s="511"/>
      <c r="L24" s="512"/>
      <c r="M24" s="517"/>
      <c r="N24" s="518"/>
      <c r="O24" s="519"/>
      <c r="P24" s="523"/>
      <c r="Q24" s="524"/>
      <c r="R24" s="524"/>
      <c r="S24" s="525"/>
    </row>
    <row r="25" spans="1:19" ht="15" customHeight="1" x14ac:dyDescent="0.25">
      <c r="A25" s="806"/>
      <c r="B25" s="833"/>
      <c r="C25" s="834"/>
      <c r="D25" s="835"/>
      <c r="E25" s="836"/>
      <c r="F25" s="836"/>
      <c r="G25" s="836"/>
      <c r="H25" s="837"/>
      <c r="I25" s="838"/>
      <c r="J25" s="839"/>
      <c r="K25" s="839"/>
      <c r="L25" s="840"/>
      <c r="M25" s="841"/>
      <c r="N25" s="842"/>
      <c r="O25" s="843"/>
      <c r="P25" s="844"/>
      <c r="Q25" s="845"/>
      <c r="R25" s="845"/>
      <c r="S25" s="846"/>
    </row>
    <row r="26" spans="1:19" ht="15" customHeight="1" thickBot="1" x14ac:dyDescent="0.3">
      <c r="A26" s="409"/>
      <c r="B26" s="558"/>
      <c r="C26" s="559"/>
      <c r="D26" s="553"/>
      <c r="E26" s="514"/>
      <c r="F26" s="514"/>
      <c r="G26" s="514"/>
      <c r="H26" s="554"/>
      <c r="I26" s="547"/>
      <c r="J26" s="515"/>
      <c r="K26" s="515"/>
      <c r="L26" s="516"/>
      <c r="M26" s="520"/>
      <c r="N26" s="521"/>
      <c r="O26" s="522"/>
      <c r="P26" s="526"/>
      <c r="Q26" s="527"/>
      <c r="R26" s="527"/>
      <c r="S26" s="528"/>
    </row>
    <row r="27" spans="1:19" ht="13.5" thickBot="1" x14ac:dyDescent="0.25">
      <c r="I27" s="31"/>
    </row>
    <row r="28" spans="1:19" ht="12.75" customHeight="1" x14ac:dyDescent="0.2">
      <c r="A28" s="1278" t="s">
        <v>344</v>
      </c>
      <c r="B28" s="903">
        <f t="shared" ref="B28:H28" si="2">MIN(B3:B26)</f>
        <v>1</v>
      </c>
      <c r="C28" s="903">
        <f t="shared" si="2"/>
        <v>2</v>
      </c>
      <c r="D28" s="564">
        <f t="shared" si="2"/>
        <v>1</v>
      </c>
      <c r="E28" s="564">
        <f t="shared" si="2"/>
        <v>5</v>
      </c>
      <c r="F28" s="564">
        <f t="shared" si="2"/>
        <v>2</v>
      </c>
      <c r="G28" s="564">
        <f t="shared" si="2"/>
        <v>7</v>
      </c>
      <c r="H28" s="565">
        <f t="shared" si="2"/>
        <v>0</v>
      </c>
      <c r="M28" s="21"/>
      <c r="N28" s="21"/>
      <c r="O28" s="21"/>
      <c r="P28" s="21"/>
      <c r="Q28" s="21"/>
      <c r="R28" s="21"/>
      <c r="S28" s="21"/>
    </row>
    <row r="29" spans="1:19" ht="13.5" thickBot="1" x14ac:dyDescent="0.25">
      <c r="A29" s="1279"/>
      <c r="B29" s="904">
        <f t="shared" ref="B29:H29" si="3">MAX(B3:B26)</f>
        <v>3</v>
      </c>
      <c r="C29" s="904">
        <f t="shared" si="3"/>
        <v>5</v>
      </c>
      <c r="D29" s="69">
        <f t="shared" si="3"/>
        <v>5</v>
      </c>
      <c r="E29" s="69">
        <f t="shared" si="3"/>
        <v>9</v>
      </c>
      <c r="F29" s="69">
        <f t="shared" si="3"/>
        <v>3</v>
      </c>
      <c r="G29" s="69">
        <f t="shared" si="3"/>
        <v>8</v>
      </c>
      <c r="H29" s="234">
        <f t="shared" si="3"/>
        <v>3</v>
      </c>
    </row>
  </sheetData>
  <mergeCells count="3">
    <mergeCell ref="M1:O1"/>
    <mergeCell ref="P1:S1"/>
    <mergeCell ref="A28:A29"/>
  </mergeCells>
  <phoneticPr fontId="0" type="noConversion"/>
  <pageMargins left="0.75" right="0.75" top="1" bottom="1" header="0.5" footer="0.5"/>
  <pageSetup orientation="portrait" horizontalDpi="300" verticalDpi="300" r:id="rId1"/>
  <headerFooter alignWithMargins="0">
    <oddHeader>&amp;A</oddHeader>
    <oddFooter>Page &amp;P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FDBDE-D7D5-4844-B5C3-06FB3B571B3C}">
  <sheetPr codeName="Sheet16">
    <tabColor rgb="FFFF0000"/>
    <pageSetUpPr fitToPage="1"/>
  </sheetPr>
  <dimension ref="A1:H64"/>
  <sheetViews>
    <sheetView workbookViewId="0">
      <pane ySplit="1" topLeftCell="A2" activePane="bottomLeft" state="frozen"/>
      <selection activeCell="AI5" sqref="AI5:AI27"/>
      <selection pane="bottomLeft" activeCell="G12" sqref="G12"/>
    </sheetView>
  </sheetViews>
  <sheetFormatPr defaultRowHeight="14.25" x14ac:dyDescent="0.2"/>
  <cols>
    <col min="1" max="1" width="4.85546875" style="387" customWidth="1"/>
    <col min="2" max="2" width="37" style="625" customWidth="1"/>
    <col min="3" max="3" width="2.140625" style="24" customWidth="1"/>
    <col min="4" max="4" width="98.28515625" style="24" customWidth="1"/>
    <col min="5" max="16384" width="9.140625" style="24"/>
  </cols>
  <sheetData>
    <row r="1" spans="1:8" ht="15.75" thickBot="1" x14ac:dyDescent="0.25">
      <c r="A1" s="995" t="s">
        <v>420</v>
      </c>
      <c r="B1" s="996" t="str">
        <f>"Programs (" &amp; MAX(A:A) &amp; ")"</f>
        <v>Programs (54)</v>
      </c>
      <c r="C1" s="1280"/>
      <c r="D1" s="997" t="s">
        <v>553</v>
      </c>
      <c r="F1" s="24">
        <f>MAX(A:A)</f>
        <v>54</v>
      </c>
      <c r="H1" s="1121" t="s">
        <v>636</v>
      </c>
    </row>
    <row r="2" spans="1:8" ht="14.25" customHeight="1" x14ac:dyDescent="0.2">
      <c r="A2" s="992">
        <f>ROW()-1</f>
        <v>1</v>
      </c>
      <c r="B2" s="993" t="s">
        <v>493</v>
      </c>
      <c r="C2" s="1281"/>
      <c r="D2" s="994" t="s">
        <v>554</v>
      </c>
    </row>
    <row r="3" spans="1:8" ht="14.25" customHeight="1" x14ac:dyDescent="0.2">
      <c r="A3" s="986">
        <f t="shared" ref="A3:A55" si="0">ROW()-1</f>
        <v>2</v>
      </c>
      <c r="B3" s="987" t="s">
        <v>494</v>
      </c>
      <c r="C3" s="1281"/>
      <c r="D3" s="988" t="s">
        <v>554</v>
      </c>
    </row>
    <row r="4" spans="1:8" ht="14.25" customHeight="1" x14ac:dyDescent="0.2">
      <c r="A4" s="986">
        <f t="shared" si="0"/>
        <v>3</v>
      </c>
      <c r="B4" s="987" t="s">
        <v>495</v>
      </c>
      <c r="C4" s="1281"/>
      <c r="D4" s="988" t="s">
        <v>602</v>
      </c>
    </row>
    <row r="5" spans="1:8" ht="14.25" customHeight="1" x14ac:dyDescent="0.2">
      <c r="A5" s="986">
        <f t="shared" si="0"/>
        <v>4</v>
      </c>
      <c r="B5" s="987" t="s">
        <v>496</v>
      </c>
      <c r="C5" s="1281"/>
      <c r="D5" s="988" t="s">
        <v>603</v>
      </c>
    </row>
    <row r="6" spans="1:8" ht="14.25" customHeight="1" x14ac:dyDescent="0.2">
      <c r="A6" s="986">
        <f t="shared" si="0"/>
        <v>5</v>
      </c>
      <c r="B6" s="987" t="s">
        <v>497</v>
      </c>
      <c r="C6" s="1281"/>
      <c r="D6" s="988" t="s">
        <v>586</v>
      </c>
    </row>
    <row r="7" spans="1:8" ht="14.25" customHeight="1" x14ac:dyDescent="0.2">
      <c r="A7" s="986">
        <f t="shared" si="0"/>
        <v>6</v>
      </c>
      <c r="B7" s="987" t="s">
        <v>498</v>
      </c>
      <c r="C7" s="1281"/>
      <c r="D7" s="988" t="s">
        <v>587</v>
      </c>
    </row>
    <row r="8" spans="1:8" ht="14.25" customHeight="1" x14ac:dyDescent="0.2">
      <c r="A8" s="986">
        <f t="shared" si="0"/>
        <v>7</v>
      </c>
      <c r="B8" s="987" t="s">
        <v>499</v>
      </c>
      <c r="C8" s="1281"/>
      <c r="D8" s="988" t="s">
        <v>587</v>
      </c>
    </row>
    <row r="9" spans="1:8" ht="14.25" customHeight="1" x14ac:dyDescent="0.2">
      <c r="A9" s="986">
        <f t="shared" si="0"/>
        <v>8</v>
      </c>
      <c r="B9" s="987" t="s">
        <v>500</v>
      </c>
      <c r="C9" s="1281"/>
      <c r="D9" s="988" t="s">
        <v>258</v>
      </c>
    </row>
    <row r="10" spans="1:8" ht="14.25" customHeight="1" x14ac:dyDescent="0.2">
      <c r="A10" s="986">
        <f t="shared" si="0"/>
        <v>9</v>
      </c>
      <c r="B10" s="987" t="s">
        <v>501</v>
      </c>
      <c r="C10" s="1281"/>
      <c r="D10" s="988" t="s">
        <v>604</v>
      </c>
    </row>
    <row r="11" spans="1:8" ht="14.25" customHeight="1" x14ac:dyDescent="0.2">
      <c r="A11" s="986">
        <f t="shared" si="0"/>
        <v>10</v>
      </c>
      <c r="B11" s="987" t="s">
        <v>502</v>
      </c>
      <c r="C11" s="1281"/>
      <c r="D11" s="989" t="s">
        <v>555</v>
      </c>
    </row>
    <row r="12" spans="1:8" ht="14.25" customHeight="1" x14ac:dyDescent="0.2">
      <c r="A12" s="986">
        <f t="shared" si="0"/>
        <v>11</v>
      </c>
      <c r="B12" s="987" t="s">
        <v>503</v>
      </c>
      <c r="C12" s="1281"/>
      <c r="D12" s="988" t="s">
        <v>588</v>
      </c>
    </row>
    <row r="13" spans="1:8" ht="14.25" customHeight="1" x14ac:dyDescent="0.2">
      <c r="A13" s="986">
        <f t="shared" si="0"/>
        <v>12</v>
      </c>
      <c r="B13" s="987" t="s">
        <v>504</v>
      </c>
      <c r="C13" s="1281"/>
      <c r="D13" s="988" t="s">
        <v>556</v>
      </c>
    </row>
    <row r="14" spans="1:8" ht="14.25" customHeight="1" x14ac:dyDescent="0.2">
      <c r="A14" s="986">
        <f t="shared" si="0"/>
        <v>13</v>
      </c>
      <c r="B14" s="987" t="s">
        <v>505</v>
      </c>
      <c r="C14" s="1281"/>
      <c r="D14" s="988" t="s">
        <v>589</v>
      </c>
    </row>
    <row r="15" spans="1:8" ht="14.25" customHeight="1" x14ac:dyDescent="0.2">
      <c r="A15" s="986">
        <f t="shared" si="0"/>
        <v>14</v>
      </c>
      <c r="B15" s="987" t="s">
        <v>506</v>
      </c>
      <c r="C15" s="1281"/>
      <c r="D15" s="988" t="s">
        <v>557</v>
      </c>
    </row>
    <row r="16" spans="1:8" ht="14.25" customHeight="1" x14ac:dyDescent="0.2">
      <c r="A16" s="986">
        <f t="shared" si="0"/>
        <v>15</v>
      </c>
      <c r="B16" s="987" t="s">
        <v>507</v>
      </c>
      <c r="C16" s="1281"/>
      <c r="D16" s="989" t="s">
        <v>605</v>
      </c>
    </row>
    <row r="17" spans="1:4" ht="14.25" customHeight="1" x14ac:dyDescent="0.2">
      <c r="A17" s="986">
        <f t="shared" si="0"/>
        <v>16</v>
      </c>
      <c r="B17" s="987" t="s">
        <v>508</v>
      </c>
      <c r="C17" s="1281"/>
      <c r="D17" s="988" t="s">
        <v>564</v>
      </c>
    </row>
    <row r="18" spans="1:4" ht="14.25" customHeight="1" x14ac:dyDescent="0.2">
      <c r="A18" s="986">
        <f t="shared" si="0"/>
        <v>17</v>
      </c>
      <c r="B18" s="987" t="s">
        <v>509</v>
      </c>
      <c r="C18" s="1281"/>
      <c r="D18" s="989" t="s">
        <v>605</v>
      </c>
    </row>
    <row r="19" spans="1:4" ht="14.25" customHeight="1" x14ac:dyDescent="0.2">
      <c r="A19" s="986">
        <f t="shared" si="0"/>
        <v>18</v>
      </c>
      <c r="B19" s="987" t="s">
        <v>510</v>
      </c>
      <c r="C19" s="1281"/>
      <c r="D19" s="988" t="s">
        <v>590</v>
      </c>
    </row>
    <row r="20" spans="1:4" ht="14.25" customHeight="1" x14ac:dyDescent="0.2">
      <c r="A20" s="986">
        <f t="shared" si="0"/>
        <v>19</v>
      </c>
      <c r="B20" s="987" t="s">
        <v>511</v>
      </c>
      <c r="C20" s="1281"/>
      <c r="D20" s="988" t="s">
        <v>591</v>
      </c>
    </row>
    <row r="21" spans="1:4" ht="14.25" customHeight="1" x14ac:dyDescent="0.2">
      <c r="A21" s="986">
        <f t="shared" si="0"/>
        <v>20</v>
      </c>
      <c r="B21" s="987" t="s">
        <v>512</v>
      </c>
      <c r="C21" s="1281"/>
      <c r="D21" s="988" t="s">
        <v>592</v>
      </c>
    </row>
    <row r="22" spans="1:4" ht="14.25" customHeight="1" x14ac:dyDescent="0.2">
      <c r="A22" s="986">
        <f t="shared" si="0"/>
        <v>21</v>
      </c>
      <c r="B22" s="987" t="s">
        <v>513</v>
      </c>
      <c r="C22" s="1281"/>
      <c r="D22" s="988" t="s">
        <v>594</v>
      </c>
    </row>
    <row r="23" spans="1:4" ht="14.25" customHeight="1" x14ac:dyDescent="0.2">
      <c r="A23" s="986">
        <f t="shared" si="0"/>
        <v>22</v>
      </c>
      <c r="B23" s="987" t="s">
        <v>514</v>
      </c>
      <c r="C23" s="1281"/>
      <c r="D23" s="988" t="s">
        <v>593</v>
      </c>
    </row>
    <row r="24" spans="1:4" ht="14.25" customHeight="1" x14ac:dyDescent="0.2">
      <c r="A24" s="986">
        <f t="shared" si="0"/>
        <v>23</v>
      </c>
      <c r="B24" s="987" t="s">
        <v>515</v>
      </c>
      <c r="C24" s="1281"/>
      <c r="D24" s="988" t="s">
        <v>558</v>
      </c>
    </row>
    <row r="25" spans="1:4" ht="14.25" customHeight="1" x14ac:dyDescent="0.2">
      <c r="A25" s="986">
        <f t="shared" si="0"/>
        <v>24</v>
      </c>
      <c r="B25" s="987" t="s">
        <v>516</v>
      </c>
      <c r="C25" s="1281"/>
      <c r="D25" s="989" t="s">
        <v>559</v>
      </c>
    </row>
    <row r="26" spans="1:4" ht="14.25" customHeight="1" x14ac:dyDescent="0.2">
      <c r="A26" s="986">
        <f t="shared" si="0"/>
        <v>25</v>
      </c>
      <c r="B26" s="987" t="s">
        <v>517</v>
      </c>
      <c r="C26" s="1281"/>
      <c r="D26" s="988" t="s">
        <v>560</v>
      </c>
    </row>
    <row r="27" spans="1:4" ht="14.25" customHeight="1" x14ac:dyDescent="0.2">
      <c r="A27" s="986">
        <f t="shared" si="0"/>
        <v>26</v>
      </c>
      <c r="B27" s="987" t="s">
        <v>518</v>
      </c>
      <c r="C27" s="1281"/>
      <c r="D27" s="988" t="s">
        <v>561</v>
      </c>
    </row>
    <row r="28" spans="1:4" ht="14.25" customHeight="1" x14ac:dyDescent="0.2">
      <c r="A28" s="986">
        <f t="shared" si="0"/>
        <v>27</v>
      </c>
      <c r="B28" s="987" t="s">
        <v>519</v>
      </c>
      <c r="C28" s="1281"/>
      <c r="D28" s="988" t="s">
        <v>562</v>
      </c>
    </row>
    <row r="29" spans="1:4" ht="14.25" customHeight="1" x14ac:dyDescent="0.2">
      <c r="A29" s="986">
        <f t="shared" si="0"/>
        <v>28</v>
      </c>
      <c r="B29" s="987" t="s">
        <v>552</v>
      </c>
      <c r="C29" s="1281"/>
      <c r="D29" s="988" t="s">
        <v>563</v>
      </c>
    </row>
    <row r="30" spans="1:4" ht="14.25" customHeight="1" x14ac:dyDescent="0.2">
      <c r="A30" s="986">
        <f t="shared" si="0"/>
        <v>29</v>
      </c>
      <c r="B30" s="987" t="s">
        <v>520</v>
      </c>
      <c r="C30" s="1281"/>
      <c r="D30" s="989" t="s">
        <v>583</v>
      </c>
    </row>
    <row r="31" spans="1:4" ht="14.25" customHeight="1" x14ac:dyDescent="0.2">
      <c r="A31" s="986">
        <f t="shared" si="0"/>
        <v>30</v>
      </c>
      <c r="B31" s="1001" t="s">
        <v>542</v>
      </c>
      <c r="C31" s="1281"/>
      <c r="D31" s="1002" t="s">
        <v>543</v>
      </c>
    </row>
    <row r="32" spans="1:4" ht="14.25" customHeight="1" x14ac:dyDescent="0.2">
      <c r="A32" s="986">
        <f t="shared" si="0"/>
        <v>31</v>
      </c>
      <c r="B32" s="987" t="s">
        <v>521</v>
      </c>
      <c r="C32" s="1281"/>
      <c r="D32" s="988" t="s">
        <v>7</v>
      </c>
    </row>
    <row r="33" spans="1:4" ht="14.25" customHeight="1" x14ac:dyDescent="0.2">
      <c r="A33" s="986">
        <f t="shared" si="0"/>
        <v>32</v>
      </c>
      <c r="B33" s="1001" t="s">
        <v>541</v>
      </c>
      <c r="C33" s="1281"/>
      <c r="D33" s="989" t="s">
        <v>583</v>
      </c>
    </row>
    <row r="34" spans="1:4" ht="14.25" customHeight="1" x14ac:dyDescent="0.2">
      <c r="A34" s="986">
        <f t="shared" si="0"/>
        <v>33</v>
      </c>
      <c r="B34" s="987" t="s">
        <v>522</v>
      </c>
      <c r="C34" s="1281"/>
      <c r="D34" s="989" t="s">
        <v>565</v>
      </c>
    </row>
    <row r="35" spans="1:4" ht="14.25" customHeight="1" x14ac:dyDescent="0.2">
      <c r="A35" s="986">
        <f t="shared" si="0"/>
        <v>34</v>
      </c>
      <c r="B35" s="987" t="s">
        <v>523</v>
      </c>
      <c r="C35" s="1281"/>
      <c r="D35" s="988" t="s">
        <v>566</v>
      </c>
    </row>
    <row r="36" spans="1:4" ht="14.25" customHeight="1" x14ac:dyDescent="0.2">
      <c r="A36" s="986">
        <f t="shared" si="0"/>
        <v>35</v>
      </c>
      <c r="B36" s="987" t="s">
        <v>524</v>
      </c>
      <c r="C36" s="1281"/>
      <c r="D36" s="989" t="s">
        <v>565</v>
      </c>
    </row>
    <row r="37" spans="1:4" ht="14.25" customHeight="1" x14ac:dyDescent="0.2">
      <c r="A37" s="986">
        <f t="shared" si="0"/>
        <v>36</v>
      </c>
      <c r="B37" s="987" t="s">
        <v>525</v>
      </c>
      <c r="C37" s="1281"/>
      <c r="D37" s="988" t="s">
        <v>567</v>
      </c>
    </row>
    <row r="38" spans="1:4" ht="14.25" customHeight="1" x14ac:dyDescent="0.2">
      <c r="A38" s="986">
        <f t="shared" si="0"/>
        <v>37</v>
      </c>
      <c r="B38" s="987" t="s">
        <v>288</v>
      </c>
      <c r="C38" s="1281"/>
      <c r="D38" s="988" t="s">
        <v>288</v>
      </c>
    </row>
    <row r="39" spans="1:4" ht="14.25" customHeight="1" x14ac:dyDescent="0.2">
      <c r="A39" s="986">
        <f t="shared" si="0"/>
        <v>38</v>
      </c>
      <c r="B39" s="987" t="s">
        <v>526</v>
      </c>
      <c r="C39" s="1281"/>
      <c r="D39" s="988" t="s">
        <v>568</v>
      </c>
    </row>
    <row r="40" spans="1:4" ht="14.25" customHeight="1" x14ac:dyDescent="0.2">
      <c r="A40" s="986">
        <f t="shared" si="0"/>
        <v>39</v>
      </c>
      <c r="B40" s="987" t="s">
        <v>527</v>
      </c>
      <c r="C40" s="1281"/>
      <c r="D40" s="1002" t="s">
        <v>584</v>
      </c>
    </row>
    <row r="41" spans="1:4" ht="14.25" customHeight="1" x14ac:dyDescent="0.2">
      <c r="A41" s="986">
        <f t="shared" si="0"/>
        <v>40</v>
      </c>
      <c r="B41" s="987" t="s">
        <v>528</v>
      </c>
      <c r="C41" s="1281"/>
      <c r="D41" s="988" t="s">
        <v>569</v>
      </c>
    </row>
    <row r="42" spans="1:4" ht="14.25" customHeight="1" x14ac:dyDescent="0.2">
      <c r="A42" s="986">
        <f t="shared" si="0"/>
        <v>41</v>
      </c>
      <c r="B42" s="987" t="s">
        <v>529</v>
      </c>
      <c r="C42" s="1281"/>
      <c r="D42" s="989" t="s">
        <v>570</v>
      </c>
    </row>
    <row r="43" spans="1:4" ht="14.25" customHeight="1" x14ac:dyDescent="0.2">
      <c r="A43" s="986">
        <f t="shared" si="0"/>
        <v>42</v>
      </c>
      <c r="B43" s="987" t="s">
        <v>544</v>
      </c>
      <c r="C43" s="1281"/>
      <c r="D43" s="988" t="s">
        <v>571</v>
      </c>
    </row>
    <row r="44" spans="1:4" ht="14.25" customHeight="1" x14ac:dyDescent="0.2">
      <c r="A44" s="986">
        <f t="shared" si="0"/>
        <v>43</v>
      </c>
      <c r="B44" s="987" t="s">
        <v>530</v>
      </c>
      <c r="C44" s="1281"/>
      <c r="D44" s="1002" t="s">
        <v>585</v>
      </c>
    </row>
    <row r="45" spans="1:4" ht="14.25" customHeight="1" x14ac:dyDescent="0.2">
      <c r="A45" s="986">
        <f t="shared" si="0"/>
        <v>44</v>
      </c>
      <c r="B45" s="987" t="s">
        <v>545</v>
      </c>
      <c r="C45" s="1281"/>
      <c r="D45" s="988" t="s">
        <v>572</v>
      </c>
    </row>
    <row r="46" spans="1:4" ht="14.25" customHeight="1" x14ac:dyDescent="0.2">
      <c r="A46" s="986">
        <f t="shared" si="0"/>
        <v>45</v>
      </c>
      <c r="B46" s="987" t="s">
        <v>531</v>
      </c>
      <c r="C46" s="1281"/>
      <c r="D46" s="988" t="s">
        <v>573</v>
      </c>
    </row>
    <row r="47" spans="1:4" ht="14.25" customHeight="1" x14ac:dyDescent="0.2">
      <c r="A47" s="986">
        <f t="shared" si="0"/>
        <v>46</v>
      </c>
      <c r="B47" s="987" t="s">
        <v>532</v>
      </c>
      <c r="C47" s="1281"/>
      <c r="D47" s="988" t="s">
        <v>574</v>
      </c>
    </row>
    <row r="48" spans="1:4" ht="14.25" customHeight="1" x14ac:dyDescent="0.2">
      <c r="A48" s="986">
        <f t="shared" si="0"/>
        <v>47</v>
      </c>
      <c r="B48" s="987" t="s">
        <v>533</v>
      </c>
      <c r="C48" s="1281"/>
      <c r="D48" s="989" t="s">
        <v>575</v>
      </c>
    </row>
    <row r="49" spans="1:4" ht="14.25" customHeight="1" x14ac:dyDescent="0.2">
      <c r="A49" s="986">
        <f t="shared" si="0"/>
        <v>48</v>
      </c>
      <c r="B49" s="987" t="s">
        <v>534</v>
      </c>
      <c r="C49" s="1281"/>
      <c r="D49" s="988" t="s">
        <v>576</v>
      </c>
    </row>
    <row r="50" spans="1:4" ht="14.25" customHeight="1" x14ac:dyDescent="0.2">
      <c r="A50" s="986">
        <f t="shared" si="0"/>
        <v>49</v>
      </c>
      <c r="B50" s="987" t="s">
        <v>535</v>
      </c>
      <c r="C50" s="1281"/>
      <c r="D50" s="988" t="s">
        <v>577</v>
      </c>
    </row>
    <row r="51" spans="1:4" ht="14.25" customHeight="1" x14ac:dyDescent="0.2">
      <c r="A51" s="986">
        <f t="shared" si="0"/>
        <v>50</v>
      </c>
      <c r="B51" s="987" t="s">
        <v>536</v>
      </c>
      <c r="C51" s="1281"/>
      <c r="D51" s="988" t="s">
        <v>578</v>
      </c>
    </row>
    <row r="52" spans="1:4" ht="14.25" customHeight="1" x14ac:dyDescent="0.2">
      <c r="A52" s="986">
        <f t="shared" si="0"/>
        <v>51</v>
      </c>
      <c r="B52" s="987" t="s">
        <v>537</v>
      </c>
      <c r="C52" s="1281"/>
      <c r="D52" s="989" t="s">
        <v>579</v>
      </c>
    </row>
    <row r="53" spans="1:4" ht="14.25" customHeight="1" x14ac:dyDescent="0.2">
      <c r="A53" s="986">
        <f t="shared" si="0"/>
        <v>52</v>
      </c>
      <c r="B53" s="987" t="s">
        <v>538</v>
      </c>
      <c r="C53" s="1281"/>
      <c r="D53" s="988" t="s">
        <v>580</v>
      </c>
    </row>
    <row r="54" spans="1:4" ht="14.25" customHeight="1" x14ac:dyDescent="0.2">
      <c r="A54" s="986">
        <f t="shared" si="0"/>
        <v>53</v>
      </c>
      <c r="B54" s="987" t="s">
        <v>539</v>
      </c>
      <c r="C54" s="1281"/>
      <c r="D54" s="988" t="s">
        <v>581</v>
      </c>
    </row>
    <row r="55" spans="1:4" ht="14.25" customHeight="1" thickBot="1" x14ac:dyDescent="0.25">
      <c r="A55" s="990">
        <f t="shared" si="0"/>
        <v>54</v>
      </c>
      <c r="B55" s="991" t="s">
        <v>540</v>
      </c>
      <c r="C55" s="1281"/>
      <c r="D55" s="1122" t="s">
        <v>582</v>
      </c>
    </row>
    <row r="56" spans="1:4" ht="15.75" thickBot="1" x14ac:dyDescent="0.25">
      <c r="D56" s="998" t="s">
        <v>601</v>
      </c>
    </row>
    <row r="57" spans="1:4" x14ac:dyDescent="0.2">
      <c r="D57" s="999" t="s">
        <v>595</v>
      </c>
    </row>
    <row r="58" spans="1:4" x14ac:dyDescent="0.2">
      <c r="D58" s="1000" t="s">
        <v>596</v>
      </c>
    </row>
    <row r="59" spans="1:4" ht="14.25" customHeight="1" x14ac:dyDescent="0.2">
      <c r="D59" s="1003" t="s">
        <v>607</v>
      </c>
    </row>
    <row r="60" spans="1:4" x14ac:dyDescent="0.2">
      <c r="D60" s="1003" t="s">
        <v>598</v>
      </c>
    </row>
    <row r="61" spans="1:4" x14ac:dyDescent="0.2">
      <c r="D61" s="1003" t="s">
        <v>597</v>
      </c>
    </row>
    <row r="62" spans="1:4" x14ac:dyDescent="0.2">
      <c r="D62" s="1003" t="s">
        <v>599</v>
      </c>
    </row>
    <row r="63" spans="1:4" x14ac:dyDescent="0.2">
      <c r="D63" s="1000" t="s">
        <v>606</v>
      </c>
    </row>
    <row r="64" spans="1:4" ht="15" thickBot="1" x14ac:dyDescent="0.25">
      <c r="D64" s="1004" t="s">
        <v>600</v>
      </c>
    </row>
  </sheetData>
  <sortState xmlns:xlrd2="http://schemas.microsoft.com/office/spreadsheetml/2017/richdata2" ref="A2:B55">
    <sortCondition ref="B2:B55"/>
  </sortState>
  <mergeCells count="1">
    <mergeCell ref="C1:C55"/>
  </mergeCells>
  <pageMargins left="0.7" right="0.7" top="0.75" bottom="0.75" header="0.3" footer="0.3"/>
  <pageSetup scale="64" orientation="portrait" r:id="rId1"/>
  <headerFooter>
    <oddHeader>&amp;C&amp;"Arial,Bold"&amp;14Philmont Trek Programs</oddHeader>
    <oddFooter>&amp;L&amp;F!&amp;A&amp;R&amp;D &amp;T</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FF0000"/>
    <pageSetUpPr fitToPage="1"/>
  </sheetPr>
  <dimension ref="A1:BF53"/>
  <sheetViews>
    <sheetView zoomScale="70" zoomScaleNormal="70" workbookViewId="0">
      <pane xSplit="2" ySplit="2" topLeftCell="C3" activePane="bottomRight" state="frozen"/>
      <selection activeCell="AI5" sqref="AI5:AI27"/>
      <selection pane="topRight" activeCell="AI5" sqref="AI5:AI27"/>
      <selection pane="bottomLeft" activeCell="AI5" sqref="AI5:AI27"/>
      <selection pane="bottomRight" activeCell="M14" sqref="M14"/>
    </sheetView>
  </sheetViews>
  <sheetFormatPr defaultRowHeight="12.75" x14ac:dyDescent="0.2"/>
  <cols>
    <col min="1" max="1" width="22.42578125" customWidth="1"/>
    <col min="2" max="2" width="7" customWidth="1"/>
    <col min="3" max="57" width="5.28515625" style="34" customWidth="1"/>
    <col min="58" max="58" width="5.28515625" customWidth="1"/>
  </cols>
  <sheetData>
    <row r="1" spans="1:58" ht="12.75" customHeight="1" thickBot="1" x14ac:dyDescent="0.25">
      <c r="A1" s="1282" t="s">
        <v>474</v>
      </c>
      <c r="B1" s="1284" t="s">
        <v>200</v>
      </c>
      <c r="C1" s="964">
        <v>1</v>
      </c>
      <c r="D1" s="965">
        <f>C1+1</f>
        <v>2</v>
      </c>
      <c r="E1" s="965">
        <f t="shared" ref="E1:AS1" si="0">D1+1</f>
        <v>3</v>
      </c>
      <c r="F1" s="965">
        <f t="shared" si="0"/>
        <v>4</v>
      </c>
      <c r="G1" s="966">
        <f t="shared" si="0"/>
        <v>5</v>
      </c>
      <c r="H1" s="965">
        <f t="shared" si="0"/>
        <v>6</v>
      </c>
      <c r="I1" s="965">
        <f t="shared" si="0"/>
        <v>7</v>
      </c>
      <c r="J1" s="965">
        <f t="shared" si="0"/>
        <v>8</v>
      </c>
      <c r="K1" s="965">
        <f t="shared" si="0"/>
        <v>9</v>
      </c>
      <c r="L1" s="965">
        <f t="shared" si="0"/>
        <v>10</v>
      </c>
      <c r="M1" s="965">
        <f t="shared" si="0"/>
        <v>11</v>
      </c>
      <c r="N1" s="965">
        <f t="shared" si="0"/>
        <v>12</v>
      </c>
      <c r="O1" s="965">
        <f t="shared" si="0"/>
        <v>13</v>
      </c>
      <c r="P1" s="965">
        <f t="shared" si="0"/>
        <v>14</v>
      </c>
      <c r="Q1" s="965">
        <f t="shared" si="0"/>
        <v>15</v>
      </c>
      <c r="R1" s="965">
        <f t="shared" si="0"/>
        <v>16</v>
      </c>
      <c r="S1" s="965">
        <f t="shared" si="0"/>
        <v>17</v>
      </c>
      <c r="T1" s="965">
        <f t="shared" si="0"/>
        <v>18</v>
      </c>
      <c r="U1" s="965">
        <f t="shared" si="0"/>
        <v>19</v>
      </c>
      <c r="V1" s="965">
        <f t="shared" si="0"/>
        <v>20</v>
      </c>
      <c r="W1" s="965">
        <f t="shared" si="0"/>
        <v>21</v>
      </c>
      <c r="X1" s="965">
        <f t="shared" si="0"/>
        <v>22</v>
      </c>
      <c r="Y1" s="965">
        <f t="shared" si="0"/>
        <v>23</v>
      </c>
      <c r="Z1" s="966">
        <f t="shared" si="0"/>
        <v>24</v>
      </c>
      <c r="AA1" s="964">
        <f t="shared" si="0"/>
        <v>25</v>
      </c>
      <c r="AB1" s="965">
        <f t="shared" si="0"/>
        <v>26</v>
      </c>
      <c r="AC1" s="965">
        <f t="shared" si="0"/>
        <v>27</v>
      </c>
      <c r="AD1" s="965">
        <f t="shared" si="0"/>
        <v>28</v>
      </c>
      <c r="AE1" s="965">
        <f t="shared" si="0"/>
        <v>29</v>
      </c>
      <c r="AF1" s="965">
        <f t="shared" si="0"/>
        <v>30</v>
      </c>
      <c r="AG1" s="965">
        <f t="shared" si="0"/>
        <v>31</v>
      </c>
      <c r="AH1" s="966">
        <f t="shared" si="0"/>
        <v>32</v>
      </c>
      <c r="AI1" s="965">
        <f t="shared" si="0"/>
        <v>33</v>
      </c>
      <c r="AJ1" s="966">
        <f>AI1+1</f>
        <v>34</v>
      </c>
      <c r="AK1" s="965">
        <f t="shared" si="0"/>
        <v>35</v>
      </c>
      <c r="AL1" s="965">
        <f t="shared" si="0"/>
        <v>36</v>
      </c>
      <c r="AM1" s="965">
        <f t="shared" si="0"/>
        <v>37</v>
      </c>
      <c r="AN1" s="965">
        <f t="shared" si="0"/>
        <v>38</v>
      </c>
      <c r="AO1" s="965">
        <f t="shared" si="0"/>
        <v>39</v>
      </c>
      <c r="AP1" s="965">
        <f t="shared" si="0"/>
        <v>40</v>
      </c>
      <c r="AQ1" s="965">
        <f t="shared" si="0"/>
        <v>41</v>
      </c>
      <c r="AR1" s="965">
        <f t="shared" si="0"/>
        <v>42</v>
      </c>
      <c r="AS1" s="965">
        <f t="shared" si="0"/>
        <v>43</v>
      </c>
      <c r="AT1" s="965">
        <f t="shared" ref="AT1:AU1" si="1">AS1+1</f>
        <v>44</v>
      </c>
      <c r="AU1" s="965">
        <f t="shared" si="1"/>
        <v>45</v>
      </c>
      <c r="AV1" s="965">
        <f t="shared" ref="AV1" si="2">AU1+1</f>
        <v>46</v>
      </c>
      <c r="AW1" s="965">
        <f t="shared" ref="AW1" si="3">AV1+1</f>
        <v>47</v>
      </c>
      <c r="AX1" s="966">
        <f t="shared" ref="AX1" si="4">AW1+1</f>
        <v>48</v>
      </c>
      <c r="AY1" s="966">
        <f t="shared" ref="AY1" si="5">AX1+1</f>
        <v>49</v>
      </c>
      <c r="AZ1" s="966">
        <f t="shared" ref="AZ1" si="6">AY1+1</f>
        <v>50</v>
      </c>
      <c r="BA1" s="966">
        <f t="shared" ref="BA1" si="7">AZ1+1</f>
        <v>51</v>
      </c>
      <c r="BB1" s="966">
        <f t="shared" ref="BB1" si="8">BA1+1</f>
        <v>52</v>
      </c>
      <c r="BC1" s="966">
        <f t="shared" ref="BC1" si="9">BB1+1</f>
        <v>53</v>
      </c>
      <c r="BD1" s="966">
        <f t="shared" ref="BD1" si="10">BC1+1</f>
        <v>54</v>
      </c>
      <c r="BE1" s="966">
        <f t="shared" ref="BE1" si="11">BD1+1</f>
        <v>55</v>
      </c>
      <c r="BF1" s="967">
        <f t="shared" ref="BF1" si="12">BE1+1</f>
        <v>56</v>
      </c>
    </row>
    <row r="2" spans="1:58" ht="131.25" customHeight="1" thickBot="1" x14ac:dyDescent="0.25">
      <c r="A2" s="1283"/>
      <c r="B2" s="1285"/>
      <c r="C2" s="968" t="str" cm="1">
        <f t="array" ref="C2">INDEX(program_table,C1)</f>
        <v>Climbing: Bouldering Gym</v>
      </c>
      <c r="D2" s="969" t="str" cm="1">
        <f t="array" ref="D2">INDEX(program_table,D1)</f>
        <v>Climbing: Climbing Wall/Tower</v>
      </c>
      <c r="E2" s="969" t="str" cm="1">
        <f t="array" ref="E2">INDEX(program_table,E1)</f>
        <v>Climbing: Crate Stacking</v>
      </c>
      <c r="F2" s="969" t="str" cm="1">
        <f t="array" ref="F2">INDEX(program_table,F1)</f>
        <v>Climbing: Rock Climbing</v>
      </c>
      <c r="G2" s="969" t="str" cm="1">
        <f t="array" ref="G2">INDEX(program_table,G1)</f>
        <v>COPE: High Challenge Course</v>
      </c>
      <c r="H2" s="969" t="str" cm="1">
        <f t="array" ref="H2">INDEX(program_table,H1)</f>
        <v>COPE: Initiative Games</v>
      </c>
      <c r="I2" s="969" t="str" cm="1">
        <f t="array" ref="I2">INDEX(program_table,I1)</f>
        <v>COPE: Low Challenge Course</v>
      </c>
      <c r="J2" s="969" t="str" cm="1">
        <f t="array" ref="J2">INDEX(program_table,J1)</f>
        <v>Ecology: Demonstration Forest</v>
      </c>
      <c r="K2" s="969" t="str" cm="1">
        <f t="array" ref="K2">INDEX(program_table,K1)</f>
        <v>Ecology: Self-Guided Fishing</v>
      </c>
      <c r="L2" s="969" t="str" cm="1">
        <f t="array" ref="L2">INDEX(program_table,L1)</f>
        <v>Evening: Advisor Coffee</v>
      </c>
      <c r="M2" s="969" t="str" cm="1">
        <f t="array" ref="M2">INDEX(program_table,M1)</f>
        <v>Evening: Campfire Show</v>
      </c>
      <c r="N2" s="969" t="str" cm="1">
        <f t="array" ref="N2">INDEX(program_table,N1)</f>
        <v>Evening: Chuckwagon Dinner</v>
      </c>
      <c r="O2" s="969" t="str" cm="1">
        <f t="array" ref="O2">INDEX(program_table,O1)</f>
        <v>Historical: Adobe Brick-Making</v>
      </c>
      <c r="P2" s="969" t="str" cm="1">
        <f t="array" ref="P2">INDEX(program_table,P1)</f>
        <v>Historical: Blacksmithing</v>
      </c>
      <c r="Q2" s="969" t="str" cm="1">
        <f t="array" ref="Q2">INDEX(program_table,Q1)</f>
        <v>Historical: Cabin Restoration</v>
      </c>
      <c r="R2" s="969" t="str" cm="1">
        <f t="array" ref="R2">INDEX(program_table,R1)</f>
        <v>Historical: Cabin/House Tour</v>
      </c>
      <c r="S2" s="969" t="str" cm="1">
        <f t="array" ref="S2">INDEX(program_table,S1)</f>
        <v>Historical: Crafting</v>
      </c>
      <c r="T2" s="969" t="str" cm="1">
        <f t="array" ref="T2">INDEX(program_table,T1)</f>
        <v>Historical: Crosscut &amp; Tie Making</v>
      </c>
      <c r="U2" s="969" t="str" cm="1">
        <f t="array" ref="U2">INDEX(program_table,U1)</f>
        <v>Historical: Flint Knapping</v>
      </c>
      <c r="V2" s="969" t="str" cm="1">
        <f t="array" ref="V2">INDEX(program_table,V1)</f>
        <v>Historical: Fur Trapper Rendezvous</v>
      </c>
      <c r="W2" s="969" t="str" cm="1">
        <f t="array" ref="W2">INDEX(program_table,W1)</f>
        <v>Historical: Gold Panning</v>
      </c>
      <c r="X2" s="969" t="str" cm="1">
        <f t="array" ref="X2">INDEX(program_table,X1)</f>
        <v>Historical: Mine Tour</v>
      </c>
      <c r="Y2" s="969" t="str" cm="1">
        <f t="array" ref="Y2">INDEX(program_table,Y1)</f>
        <v>Historical: Petroglyph Tour</v>
      </c>
      <c r="Z2" s="969" t="str" cm="1">
        <f t="array" ref="Z2">INDEX(program_table,Z1)</f>
        <v>Historical: Pump Car Rides</v>
      </c>
      <c r="AA2" s="969" t="str" cm="1">
        <f t="array" ref="AA2">INDEX(program_table,AA1)</f>
        <v>Historical: Railroad Construction</v>
      </c>
      <c r="AB2" s="969" t="str" cm="1">
        <f t="array" ref="AB2">INDEX(program_table,AB1)</f>
        <v>Historical: Spar Pole Climbing</v>
      </c>
      <c r="AC2" s="969" t="str" cm="1">
        <f t="array" ref="AC2">INDEX(program_table,AC1)</f>
        <v>Landmarks: Baldy Mountain</v>
      </c>
      <c r="AD2" s="969" t="str" cm="1">
        <f t="array" ref="AD2">INDEX(program_table,AD1)</f>
        <v>Landmarks: Inspiration Point</v>
      </c>
      <c r="AE2" s="969" t="str" cm="1">
        <f t="array" ref="AE2">INDEX(program_table,AE1)</f>
        <v>Landmarks: Mount Phillips</v>
      </c>
      <c r="AF2" s="969" t="str" cm="1">
        <f t="array" ref="AF2">INDEX(program_table,AF1)</f>
        <v>Landmarks: Mountaineering</v>
      </c>
      <c r="AG2" s="969" t="str" cm="1">
        <f t="array" ref="AG2">INDEX(program_table,AG1)</f>
        <v>Landmarks: Tooth of Time</v>
      </c>
      <c r="AH2" s="969" t="str" cm="1">
        <f t="array" ref="AH2">INDEX(program_table,AH1)</f>
        <v>Landmarks: Trail Peak</v>
      </c>
      <c r="AI2" s="969" t="str" cm="1">
        <f t="array" ref="AI2">INDEX(program_table,AI1)</f>
        <v>Livestock: Animal Husbandry</v>
      </c>
      <c r="AJ2" s="969" t="str" cm="1">
        <f t="array" ref="AJ2">INDEX(program_table,AJ1)</f>
        <v>Livestock: Burro Packing</v>
      </c>
      <c r="AK2" s="969" t="str" cm="1">
        <f t="array" ref="AK2">INDEX(program_table,AK1)</f>
        <v>Livestock: Chicken Tending</v>
      </c>
      <c r="AL2" s="969" t="str" cm="1">
        <f t="array" ref="AL2">INDEX(program_table,AL1)</f>
        <v>Livestock: Horse Rides</v>
      </c>
      <c r="AM2" s="969" t="str" cm="1">
        <f t="array" ref="AM2">INDEX(program_table,AM1)</f>
        <v>Low Impact Camping</v>
      </c>
      <c r="AN2" s="969" t="str" cm="1">
        <f t="array" ref="AN2">INDEX(program_table,AN1)</f>
        <v>Range Sports: 3D Archery</v>
      </c>
      <c r="AO2" s="969" t="str" cm="1">
        <f t="array" ref="AO2">INDEX(program_table,AO1)</f>
        <v>Range Sports: Aerial Archery</v>
      </c>
      <c r="AP2" s="969" t="str" cm="1">
        <f t="array" ref="AP2">INDEX(program_table,AP1)</f>
        <v>Range Sports: Atlatl Throwing</v>
      </c>
      <c r="AQ2" s="969" t="str" cm="1">
        <f t="array" ref="AQ2">INDEX(program_table,AQ1)</f>
        <v>Range Sports: Cartridge Reloading</v>
      </c>
      <c r="AR2" s="969" t="str" cm="1">
        <f t="array" ref="AR2">INDEX(program_table,AR1)</f>
        <v>Range Sports: Cowboy Action Shooting</v>
      </c>
      <c r="AS2" s="969" t="str" cm="1">
        <f t="array" ref="AS2">INDEX(program_table,AS1)</f>
        <v>Range Sports: Field Archery</v>
      </c>
      <c r="AT2" s="969" t="str" cm="1">
        <f t="array" ref="AT2">INDEX(program_table,AT1)</f>
        <v>Range Sports: Muzzleloader Shooting</v>
      </c>
      <c r="AU2" s="969" t="str" cm="1">
        <f t="array" ref="AU2">INDEX(program_table,AU1)</f>
        <v>Range Sports: Rifle Shooting</v>
      </c>
      <c r="AV2" s="969" t="str" cm="1">
        <f t="array" ref="AV2">INDEX(program_table,AV1)</f>
        <v>Range Sports: Shotgun Shooting</v>
      </c>
      <c r="AW2" s="969" t="str" cm="1">
        <f t="array" ref="AW2">INDEX(program_table,AW1)</f>
        <v>Range Sports: Shotshell Reloading</v>
      </c>
      <c r="AX2" s="969" t="str" cm="1">
        <f t="array" ref="AX2">INDEX(program_table,AX1)</f>
        <v>Range Sports: Tomahawk Throwing</v>
      </c>
      <c r="AY2" s="969" t="str" cm="1">
        <f t="array" ref="AY2">INDEX(program_table,AY1)</f>
        <v>STEM: Archeology</v>
      </c>
      <c r="AZ2" s="969" t="str" cm="1">
        <f t="array" ref="AZ2">INDEX(program_table,AZ1)</f>
        <v>STEM: Astronomy</v>
      </c>
      <c r="BA2" s="969" t="str" cm="1">
        <f t="array" ref="BA2">INDEX(program_table,BA1)</f>
        <v>STEM: Geology</v>
      </c>
      <c r="BB2" s="969" t="str" cm="1">
        <f t="array" ref="BB2">INDEX(program_table,BB1)</f>
        <v>Western Lore: Branding</v>
      </c>
      <c r="BC2" s="969" t="str" cm="1">
        <f t="array" ref="BC2">INDEX(program_table,BC1)</f>
        <v>Western Lore: Cantina</v>
      </c>
      <c r="BD2" s="969" t="str" cm="1">
        <f t="array" ref="BD2">INDEX(program_table,BD1)</f>
        <v>Western Lore: Roping</v>
      </c>
      <c r="BE2" s="969" t="e" cm="1">
        <f t="array" ref="BE2">INDEX(program_table,BE1)</f>
        <v>#REF!</v>
      </c>
      <c r="BF2" s="970" t="e" cm="1">
        <f t="array" ref="BF2">INDEX(program_table,BF1)</f>
        <v>#REF!</v>
      </c>
    </row>
    <row r="3" spans="1:58" s="29" customFormat="1" ht="18" customHeight="1" x14ac:dyDescent="0.2">
      <c r="A3" s="1017" t="s">
        <v>128</v>
      </c>
      <c r="B3" s="1018">
        <f t="shared" ref="B3:B34" si="13">COUNTIF(C3:BF3,"y")</f>
        <v>9</v>
      </c>
      <c r="C3" s="1019"/>
      <c r="D3" s="1020"/>
      <c r="E3" s="1020"/>
      <c r="F3" s="1020"/>
      <c r="G3" s="1021"/>
      <c r="H3" s="1020"/>
      <c r="I3" s="1020"/>
      <c r="J3" s="1020"/>
      <c r="K3" s="1020" t="s">
        <v>8</v>
      </c>
      <c r="L3" s="1020" t="s">
        <v>8</v>
      </c>
      <c r="M3" s="1020" t="s">
        <v>8</v>
      </c>
      <c r="N3" s="1020"/>
      <c r="O3" s="1020"/>
      <c r="P3" s="1020" t="s">
        <v>8</v>
      </c>
      <c r="Q3" s="1020"/>
      <c r="R3" s="1020"/>
      <c r="S3" s="1020" t="s">
        <v>8</v>
      </c>
      <c r="T3" s="1020" t="s">
        <v>8</v>
      </c>
      <c r="U3" s="1020"/>
      <c r="V3" s="1020"/>
      <c r="W3" s="1020"/>
      <c r="X3" s="1020"/>
      <c r="Y3" s="1020"/>
      <c r="Z3" s="1020"/>
      <c r="AA3" s="1020"/>
      <c r="AB3" s="1020"/>
      <c r="AC3" s="1020"/>
      <c r="AD3" s="1026"/>
      <c r="AE3" s="1020"/>
      <c r="AF3" s="1026"/>
      <c r="AG3" s="1026"/>
      <c r="AH3" s="1026"/>
      <c r="AI3" s="1026"/>
      <c r="AJ3" s="1021" t="s">
        <v>8</v>
      </c>
      <c r="AK3" s="1020"/>
      <c r="AL3" s="1020" t="s">
        <v>8</v>
      </c>
      <c r="AM3" s="1020"/>
      <c r="AN3" s="1020"/>
      <c r="AO3" s="1020"/>
      <c r="AP3" s="1020"/>
      <c r="AQ3" s="1020"/>
      <c r="AR3" s="1020"/>
      <c r="AS3" s="1020"/>
      <c r="AT3" s="1020"/>
      <c r="AU3" s="1020"/>
      <c r="AV3" s="1020"/>
      <c r="AW3" s="1020"/>
      <c r="AX3" s="1020"/>
      <c r="AY3" s="1020"/>
      <c r="AZ3" s="1021"/>
      <c r="BA3" s="1021"/>
      <c r="BB3" s="1021"/>
      <c r="BC3" s="1021"/>
      <c r="BD3" s="1021" t="s">
        <v>8</v>
      </c>
      <c r="BE3" s="1021"/>
      <c r="BF3" s="1022"/>
    </row>
    <row r="4" spans="1:58" s="29" customFormat="1" ht="18" customHeight="1" x14ac:dyDescent="0.2">
      <c r="A4" s="971" t="s">
        <v>55</v>
      </c>
      <c r="B4" s="1005">
        <f t="shared" si="13"/>
        <v>0</v>
      </c>
      <c r="C4" s="1006"/>
      <c r="D4" s="1007"/>
      <c r="E4" s="1008"/>
      <c r="F4" s="1008"/>
      <c r="G4" s="1009"/>
      <c r="H4" s="1008"/>
      <c r="I4" s="1008"/>
      <c r="J4" s="1008"/>
      <c r="K4" s="1008"/>
      <c r="L4" s="1008"/>
      <c r="M4" s="1008"/>
      <c r="N4" s="1008"/>
      <c r="O4" s="1008"/>
      <c r="P4" s="1008"/>
      <c r="Q4" s="1008"/>
      <c r="R4" s="1008"/>
      <c r="S4" s="1008"/>
      <c r="T4" s="1008"/>
      <c r="U4" s="1008"/>
      <c r="V4" s="1008"/>
      <c r="W4" s="1008"/>
      <c r="X4" s="1008"/>
      <c r="Y4" s="1008"/>
      <c r="Z4" s="1008"/>
      <c r="AA4" s="1008"/>
      <c r="AB4" s="1008"/>
      <c r="AC4" s="1008"/>
      <c r="AD4" s="1027"/>
      <c r="AE4" s="1008"/>
      <c r="AF4" s="1027"/>
      <c r="AG4" s="1027"/>
      <c r="AH4" s="1027"/>
      <c r="AI4" s="1027"/>
      <c r="AJ4" s="1009"/>
      <c r="AK4" s="1008"/>
      <c r="AL4" s="1008"/>
      <c r="AM4" s="1008"/>
      <c r="AN4" s="1008"/>
      <c r="AO4" s="1008"/>
      <c r="AP4" s="1008"/>
      <c r="AQ4" s="1008"/>
      <c r="AR4" s="1008"/>
      <c r="AS4" s="1008"/>
      <c r="AT4" s="1008"/>
      <c r="AU4" s="1008"/>
      <c r="AV4" s="1008"/>
      <c r="AW4" s="1008"/>
      <c r="AX4" s="1008"/>
      <c r="AY4" s="1008"/>
      <c r="AZ4" s="1009"/>
      <c r="BA4" s="1009"/>
      <c r="BB4" s="1009"/>
      <c r="BC4" s="1009"/>
      <c r="BD4" s="1009"/>
      <c r="BE4" s="1009"/>
      <c r="BF4" s="1010"/>
    </row>
    <row r="5" spans="1:58" s="29" customFormat="1" ht="18" customHeight="1" x14ac:dyDescent="0.2">
      <c r="A5" s="972" t="s">
        <v>56</v>
      </c>
      <c r="B5" s="1005">
        <f t="shared" si="13"/>
        <v>4</v>
      </c>
      <c r="C5" s="1006"/>
      <c r="D5" s="1007"/>
      <c r="E5" s="1008"/>
      <c r="F5" s="1008"/>
      <c r="G5" s="1009"/>
      <c r="H5" s="1008"/>
      <c r="I5" s="1008"/>
      <c r="J5" s="1008"/>
      <c r="K5" s="1008"/>
      <c r="L5" s="1008"/>
      <c r="M5" s="1008" t="s">
        <v>8</v>
      </c>
      <c r="N5" s="1008"/>
      <c r="O5" s="1008"/>
      <c r="P5" s="1008"/>
      <c r="Q5" s="1008"/>
      <c r="R5" s="1008"/>
      <c r="S5" s="1008"/>
      <c r="T5" s="1008"/>
      <c r="U5" s="1008"/>
      <c r="V5" s="1008" t="s">
        <v>8</v>
      </c>
      <c r="W5" s="1008"/>
      <c r="X5" s="1008"/>
      <c r="Y5" s="1008"/>
      <c r="Z5" s="1008"/>
      <c r="AA5" s="1008"/>
      <c r="AB5" s="1008"/>
      <c r="AC5" s="1008"/>
      <c r="AD5" s="1027"/>
      <c r="AE5" s="1008"/>
      <c r="AF5" s="1027"/>
      <c r="AG5" s="1027"/>
      <c r="AH5" s="1027"/>
      <c r="AI5" s="1027"/>
      <c r="AJ5" s="1009"/>
      <c r="AK5" s="1008"/>
      <c r="AL5" s="1008"/>
      <c r="AM5" s="1008"/>
      <c r="AN5" s="1008"/>
      <c r="AO5" s="1008" t="s">
        <v>8</v>
      </c>
      <c r="AP5" s="1008" t="s">
        <v>8</v>
      </c>
      <c r="AQ5" s="1008"/>
      <c r="AR5" s="1008"/>
      <c r="AS5" s="1008"/>
      <c r="AT5" s="1008"/>
      <c r="AU5" s="1008"/>
      <c r="AV5" s="1008"/>
      <c r="AW5" s="1008"/>
      <c r="AX5" s="1008"/>
      <c r="AY5" s="1008"/>
      <c r="AZ5" s="1009"/>
      <c r="BA5" s="1009"/>
      <c r="BB5" s="1009"/>
      <c r="BC5" s="1009"/>
      <c r="BD5" s="1009"/>
      <c r="BE5" s="1009"/>
      <c r="BF5" s="1010"/>
    </row>
    <row r="6" spans="1:58" s="29" customFormat="1" ht="18" customHeight="1" x14ac:dyDescent="0.2">
      <c r="A6" s="972" t="s">
        <v>60</v>
      </c>
      <c r="B6" s="1005">
        <f t="shared" si="13"/>
        <v>3</v>
      </c>
      <c r="C6" s="1006"/>
      <c r="D6" s="1008"/>
      <c r="E6" s="1008"/>
      <c r="F6" s="1008"/>
      <c r="G6" s="1009"/>
      <c r="H6" s="1008"/>
      <c r="I6" s="1008"/>
      <c r="J6" s="1008"/>
      <c r="K6" s="1008"/>
      <c r="L6" s="1008"/>
      <c r="M6" s="1008" t="s">
        <v>8</v>
      </c>
      <c r="N6" s="1008"/>
      <c r="O6" s="1008"/>
      <c r="P6" s="1008"/>
      <c r="Q6" s="1008"/>
      <c r="R6" s="1008"/>
      <c r="S6" s="1008"/>
      <c r="T6" s="1008"/>
      <c r="U6" s="1008"/>
      <c r="V6" s="1008"/>
      <c r="W6" s="1008"/>
      <c r="X6" s="1008" t="s">
        <v>8</v>
      </c>
      <c r="Y6" s="1008"/>
      <c r="Z6" s="1008"/>
      <c r="AA6" s="1008"/>
      <c r="AB6" s="1008"/>
      <c r="AC6" s="1008"/>
      <c r="AD6" s="1027"/>
      <c r="AE6" s="1008"/>
      <c r="AF6" s="1027"/>
      <c r="AG6" s="1027"/>
      <c r="AH6" s="1027"/>
      <c r="AI6" s="1027"/>
      <c r="AJ6" s="1009"/>
      <c r="AK6" s="1008"/>
      <c r="AL6" s="1008"/>
      <c r="AM6" s="1008"/>
      <c r="AN6" s="1008"/>
      <c r="AO6" s="1008"/>
      <c r="AP6" s="1008"/>
      <c r="AQ6" s="1008"/>
      <c r="AR6" s="1008"/>
      <c r="AS6" s="1008"/>
      <c r="AT6" s="1008"/>
      <c r="AU6" s="1008"/>
      <c r="AV6" s="1008"/>
      <c r="AW6" s="1008"/>
      <c r="AX6" s="1008"/>
      <c r="AY6" s="1008"/>
      <c r="AZ6" s="1009"/>
      <c r="BA6" s="1009"/>
      <c r="BB6" s="1009" t="s">
        <v>8</v>
      </c>
      <c r="BC6" s="1009"/>
      <c r="BD6" s="1009"/>
      <c r="BE6" s="1009"/>
      <c r="BF6" s="1010"/>
    </row>
    <row r="7" spans="1:58" s="29" customFormat="1" ht="18" customHeight="1" x14ac:dyDescent="0.2">
      <c r="A7" s="971" t="s">
        <v>208</v>
      </c>
      <c r="B7" s="1005">
        <f t="shared" si="13"/>
        <v>1</v>
      </c>
      <c r="C7" s="1006"/>
      <c r="D7" s="1008"/>
      <c r="E7" s="1008"/>
      <c r="F7" s="1008"/>
      <c r="G7" s="1009"/>
      <c r="H7" s="1008"/>
      <c r="I7" s="1008"/>
      <c r="J7" s="1008"/>
      <c r="K7" s="1008"/>
      <c r="L7" s="1008"/>
      <c r="M7" s="1008"/>
      <c r="N7" s="1008"/>
      <c r="O7" s="1008"/>
      <c r="P7" s="1008"/>
      <c r="Q7" s="1008"/>
      <c r="R7" s="1008"/>
      <c r="S7" s="1008"/>
      <c r="T7" s="1008"/>
      <c r="U7" s="1008"/>
      <c r="V7" s="1008"/>
      <c r="W7" s="1008"/>
      <c r="X7" s="1008"/>
      <c r="Y7" s="1008"/>
      <c r="Z7" s="1008"/>
      <c r="AA7" s="1008"/>
      <c r="AB7" s="1008"/>
      <c r="AC7" s="1008"/>
      <c r="AD7" s="1027"/>
      <c r="AE7" s="1008"/>
      <c r="AF7" s="1027"/>
      <c r="AG7" s="1027"/>
      <c r="AH7" s="1027"/>
      <c r="AI7" s="1027"/>
      <c r="AJ7" s="1009"/>
      <c r="AK7" s="1008"/>
      <c r="AL7" s="1008"/>
      <c r="AM7" s="1008"/>
      <c r="AN7" s="1008" t="s">
        <v>8</v>
      </c>
      <c r="AO7" s="1008"/>
      <c r="AP7" s="1008"/>
      <c r="AQ7" s="1008"/>
      <c r="AR7" s="1008"/>
      <c r="AS7" s="1008"/>
      <c r="AT7" s="1008"/>
      <c r="AU7" s="1008"/>
      <c r="AV7" s="1008"/>
      <c r="AW7" s="1008"/>
      <c r="AX7" s="1008"/>
      <c r="AY7" s="1008"/>
      <c r="AZ7" s="1009"/>
      <c r="BA7" s="1009"/>
      <c r="BB7" s="1009"/>
      <c r="BC7" s="1009"/>
      <c r="BD7" s="1009"/>
      <c r="BE7" s="1009"/>
      <c r="BF7" s="1010"/>
    </row>
    <row r="8" spans="1:58" s="29" customFormat="1" ht="18" customHeight="1" x14ac:dyDescent="0.2">
      <c r="A8" s="972" t="s">
        <v>63</v>
      </c>
      <c r="B8" s="1005">
        <f t="shared" si="13"/>
        <v>6</v>
      </c>
      <c r="C8" s="1006"/>
      <c r="D8" s="1008"/>
      <c r="E8" s="1008"/>
      <c r="F8" s="1008"/>
      <c r="G8" s="1009"/>
      <c r="H8" s="1008"/>
      <c r="I8" s="1008"/>
      <c r="J8" s="1008"/>
      <c r="K8" s="1008"/>
      <c r="L8" s="1008"/>
      <c r="M8" s="1008" t="s">
        <v>8</v>
      </c>
      <c r="N8" s="1008" t="s">
        <v>8</v>
      </c>
      <c r="O8" s="1008" t="s">
        <v>8</v>
      </c>
      <c r="P8" s="1008"/>
      <c r="Q8" s="1008"/>
      <c r="R8" s="1008"/>
      <c r="S8" s="1008"/>
      <c r="T8" s="1008"/>
      <c r="U8" s="1008"/>
      <c r="V8" s="1008"/>
      <c r="W8" s="1008"/>
      <c r="X8" s="1008"/>
      <c r="Y8" s="1008"/>
      <c r="Z8" s="1008"/>
      <c r="AA8" s="1008"/>
      <c r="AB8" s="1008"/>
      <c r="AC8" s="1008"/>
      <c r="AD8" s="1027"/>
      <c r="AE8" s="1008"/>
      <c r="AF8" s="1027"/>
      <c r="AG8" s="1027"/>
      <c r="AH8" s="1027"/>
      <c r="AI8" s="1027"/>
      <c r="AJ8" s="1009"/>
      <c r="AK8" s="1008"/>
      <c r="AL8" s="1008"/>
      <c r="AM8" s="1008" t="s">
        <v>8</v>
      </c>
      <c r="AN8" s="1008"/>
      <c r="AO8" s="1008"/>
      <c r="AP8" s="1008"/>
      <c r="AQ8" s="1008"/>
      <c r="AR8" s="1008"/>
      <c r="AS8" s="1008"/>
      <c r="AT8" s="1008"/>
      <c r="AU8" s="1008"/>
      <c r="AV8" s="1008"/>
      <c r="AW8" s="1008"/>
      <c r="AX8" s="1008"/>
      <c r="AY8" s="1008"/>
      <c r="AZ8" s="1009"/>
      <c r="BA8" s="1009"/>
      <c r="BB8" s="1009"/>
      <c r="BC8" s="1009" t="s">
        <v>8</v>
      </c>
      <c r="BD8" s="1009"/>
      <c r="BE8" s="1009" t="s">
        <v>8</v>
      </c>
      <c r="BF8" s="1010"/>
    </row>
    <row r="9" spans="1:58" s="29" customFormat="1" ht="18" customHeight="1" x14ac:dyDescent="0.2">
      <c r="A9" s="972" t="s">
        <v>66</v>
      </c>
      <c r="B9" s="1005">
        <f t="shared" si="13"/>
        <v>4</v>
      </c>
      <c r="C9" s="1006"/>
      <c r="D9" s="1008"/>
      <c r="E9" s="1008"/>
      <c r="F9" s="1008"/>
      <c r="G9" s="1009"/>
      <c r="H9" s="1008"/>
      <c r="I9" s="1008"/>
      <c r="J9" s="1008"/>
      <c r="K9" s="1008"/>
      <c r="L9" s="1008"/>
      <c r="M9" s="1008" t="s">
        <v>8</v>
      </c>
      <c r="N9" s="1008"/>
      <c r="O9" s="1008"/>
      <c r="P9" s="1008"/>
      <c r="Q9" s="1008" t="s">
        <v>8</v>
      </c>
      <c r="R9" s="1008"/>
      <c r="S9" s="1008"/>
      <c r="T9" s="1008"/>
      <c r="U9" s="1008"/>
      <c r="V9" s="1008"/>
      <c r="W9" s="1008"/>
      <c r="X9" s="1008"/>
      <c r="Y9" s="1008"/>
      <c r="Z9" s="1008"/>
      <c r="AA9" s="1008"/>
      <c r="AB9" s="1008"/>
      <c r="AC9" s="1008"/>
      <c r="AD9" s="1027"/>
      <c r="AE9" s="1008"/>
      <c r="AF9" s="1027"/>
      <c r="AG9" s="1027"/>
      <c r="AH9" s="1027"/>
      <c r="AI9" s="1027"/>
      <c r="AJ9" s="1009" t="s">
        <v>8</v>
      </c>
      <c r="AK9" s="1008"/>
      <c r="AL9" s="1008"/>
      <c r="AM9" s="1008"/>
      <c r="AN9" s="1008"/>
      <c r="AO9" s="1008"/>
      <c r="AP9" s="1008"/>
      <c r="AQ9" s="1008"/>
      <c r="AR9" s="1008"/>
      <c r="AS9" s="1008"/>
      <c r="AT9" s="1008"/>
      <c r="AU9" s="1008" t="s">
        <v>8</v>
      </c>
      <c r="AV9" s="1008"/>
      <c r="AW9" s="1008"/>
      <c r="AX9" s="1008"/>
      <c r="AY9" s="1008"/>
      <c r="AZ9" s="1009"/>
      <c r="BA9" s="1009"/>
      <c r="BB9" s="1009"/>
      <c r="BC9" s="1009"/>
      <c r="BD9" s="1009"/>
      <c r="BE9" s="1009"/>
      <c r="BF9" s="1010"/>
    </row>
    <row r="10" spans="1:58" s="29" customFormat="1" ht="18" customHeight="1" x14ac:dyDescent="0.2">
      <c r="A10" s="972" t="s">
        <v>174</v>
      </c>
      <c r="B10" s="1005">
        <f t="shared" si="13"/>
        <v>0</v>
      </c>
      <c r="C10" s="1006"/>
      <c r="D10" s="1008"/>
      <c r="E10" s="1008"/>
      <c r="F10" s="1008"/>
      <c r="G10" s="1009"/>
      <c r="H10" s="1008"/>
      <c r="I10" s="1008"/>
      <c r="J10" s="1008"/>
      <c r="K10" s="1008"/>
      <c r="L10" s="1008"/>
      <c r="M10" s="1008"/>
      <c r="N10" s="1008"/>
      <c r="O10" s="1008"/>
      <c r="P10" s="1008"/>
      <c r="Q10" s="1008"/>
      <c r="R10" s="1008"/>
      <c r="S10" s="1008"/>
      <c r="T10" s="1008"/>
      <c r="U10" s="1008"/>
      <c r="V10" s="1008"/>
      <c r="W10" s="1008"/>
      <c r="X10" s="1008"/>
      <c r="Y10" s="1008"/>
      <c r="Z10" s="1008"/>
      <c r="AA10" s="1008"/>
      <c r="AB10" s="1008"/>
      <c r="AC10" s="1008"/>
      <c r="AD10" s="1027"/>
      <c r="AE10" s="1008"/>
      <c r="AF10" s="1027"/>
      <c r="AG10" s="1027"/>
      <c r="AH10" s="1027"/>
      <c r="AI10" s="1027"/>
      <c r="AJ10" s="1009"/>
      <c r="AK10" s="1008"/>
      <c r="AL10" s="1008"/>
      <c r="AM10" s="1008"/>
      <c r="AN10" s="1008"/>
      <c r="AO10" s="1008"/>
      <c r="AP10" s="1008"/>
      <c r="AQ10" s="1008"/>
      <c r="AR10" s="1008"/>
      <c r="AS10" s="1008"/>
      <c r="AT10" s="1008"/>
      <c r="AU10" s="1008"/>
      <c r="AV10" s="1008"/>
      <c r="AW10" s="1008"/>
      <c r="AX10" s="1008"/>
      <c r="AY10" s="1008"/>
      <c r="AZ10" s="1009"/>
      <c r="BA10" s="1009"/>
      <c r="BB10" s="1009"/>
      <c r="BC10" s="1009"/>
      <c r="BD10" s="1009"/>
      <c r="BE10" s="1009"/>
      <c r="BF10" s="1010"/>
    </row>
    <row r="11" spans="1:58" s="29" customFormat="1" ht="18" customHeight="1" x14ac:dyDescent="0.2">
      <c r="A11" s="1023" t="s">
        <v>302</v>
      </c>
      <c r="B11" s="1005">
        <f t="shared" si="13"/>
        <v>0</v>
      </c>
      <c r="C11" s="1006"/>
      <c r="D11" s="1008"/>
      <c r="E11" s="1008"/>
      <c r="F11" s="1008"/>
      <c r="G11" s="1009"/>
      <c r="H11" s="1008"/>
      <c r="I11" s="1008"/>
      <c r="J11" s="1008"/>
      <c r="K11" s="1008"/>
      <c r="L11" s="1008"/>
      <c r="M11" s="1008"/>
      <c r="N11" s="1008"/>
      <c r="O11" s="1008"/>
      <c r="P11" s="1008"/>
      <c r="Q11" s="1008"/>
      <c r="R11" s="1008"/>
      <c r="S11" s="1008"/>
      <c r="T11" s="1008"/>
      <c r="U11" s="1008"/>
      <c r="V11" s="1008"/>
      <c r="W11" s="1008"/>
      <c r="X11" s="1008"/>
      <c r="Y11" s="1008"/>
      <c r="Z11" s="1008"/>
      <c r="AA11" s="1008"/>
      <c r="AB11" s="1008"/>
      <c r="AC11" s="1008"/>
      <c r="AD11" s="1027"/>
      <c r="AE11" s="1008"/>
      <c r="AF11" s="1027"/>
      <c r="AG11" s="1027"/>
      <c r="AH11" s="1027"/>
      <c r="AI11" s="1027"/>
      <c r="AJ11" s="1009"/>
      <c r="AK11" s="1008"/>
      <c r="AL11" s="1008"/>
      <c r="AM11" s="1008"/>
      <c r="AN11" s="1008"/>
      <c r="AO11" s="1008"/>
      <c r="AP11" s="1008"/>
      <c r="AQ11" s="1008"/>
      <c r="AR11" s="1008"/>
      <c r="AS11" s="1008"/>
      <c r="AT11" s="1008"/>
      <c r="AU11" s="1008"/>
      <c r="AV11" s="1008"/>
      <c r="AW11" s="1008"/>
      <c r="AX11" s="1008"/>
      <c r="AY11" s="1008"/>
      <c r="AZ11" s="1009"/>
      <c r="BA11" s="1009"/>
      <c r="BB11" s="1009"/>
      <c r="BC11" s="1009"/>
      <c r="BD11" s="1009"/>
      <c r="BE11" s="1009"/>
      <c r="BF11" s="1010"/>
    </row>
    <row r="12" spans="1:58" s="29" customFormat="1" ht="18" customHeight="1" x14ac:dyDescent="0.2">
      <c r="A12" s="971" t="s">
        <v>289</v>
      </c>
      <c r="B12" s="1005">
        <f t="shared" si="13"/>
        <v>0</v>
      </c>
      <c r="C12" s="1006"/>
      <c r="D12" s="1008"/>
      <c r="E12" s="1008"/>
      <c r="F12" s="1008"/>
      <c r="G12" s="1009"/>
      <c r="H12" s="1008"/>
      <c r="I12" s="1008"/>
      <c r="J12" s="1008"/>
      <c r="K12" s="1008"/>
      <c r="L12" s="1008"/>
      <c r="M12" s="1008"/>
      <c r="N12" s="1008"/>
      <c r="O12" s="1008"/>
      <c r="P12" s="1008"/>
      <c r="Q12" s="1008"/>
      <c r="R12" s="1008"/>
      <c r="S12" s="1008"/>
      <c r="T12" s="1008"/>
      <c r="U12" s="1008"/>
      <c r="V12" s="1008"/>
      <c r="W12" s="1008"/>
      <c r="X12" s="1008"/>
      <c r="Y12" s="1008"/>
      <c r="Z12" s="1008"/>
      <c r="AA12" s="1008"/>
      <c r="AB12" s="1008"/>
      <c r="AC12" s="1008"/>
      <c r="AD12" s="1027"/>
      <c r="AE12" s="1008"/>
      <c r="AF12" s="1027"/>
      <c r="AG12" s="1027"/>
      <c r="AH12" s="1027"/>
      <c r="AI12" s="1027"/>
      <c r="AJ12" s="1009"/>
      <c r="AK12" s="1008"/>
      <c r="AL12" s="1008"/>
      <c r="AM12" s="1008"/>
      <c r="AN12" s="1008"/>
      <c r="AO12" s="1008"/>
      <c r="AP12" s="1008"/>
      <c r="AQ12" s="1008"/>
      <c r="AR12" s="1008"/>
      <c r="AS12" s="1008"/>
      <c r="AT12" s="1008"/>
      <c r="AU12" s="1008"/>
      <c r="AV12" s="1008"/>
      <c r="AW12" s="1008"/>
      <c r="AX12" s="1008"/>
      <c r="AY12" s="1008"/>
      <c r="AZ12" s="1009"/>
      <c r="BA12" s="1009"/>
      <c r="BB12" s="1009"/>
      <c r="BC12" s="1009"/>
      <c r="BD12" s="1009"/>
      <c r="BE12" s="1009"/>
      <c r="BF12" s="1010"/>
    </row>
    <row r="13" spans="1:58" s="29" customFormat="1" ht="18" customHeight="1" x14ac:dyDescent="0.2">
      <c r="A13" s="971" t="s">
        <v>358</v>
      </c>
      <c r="B13" s="1005">
        <f t="shared" si="13"/>
        <v>4</v>
      </c>
      <c r="C13" s="1006"/>
      <c r="D13" s="1008"/>
      <c r="E13" s="1008"/>
      <c r="F13" s="1008"/>
      <c r="G13" s="1009"/>
      <c r="H13" s="1008"/>
      <c r="I13" s="1008"/>
      <c r="J13" s="1008"/>
      <c r="K13" s="1008"/>
      <c r="L13" s="1008"/>
      <c r="M13" s="1008" t="s">
        <v>8</v>
      </c>
      <c r="N13" s="1008"/>
      <c r="O13" s="1008"/>
      <c r="P13" s="1008"/>
      <c r="Q13" s="1008"/>
      <c r="R13" s="1008"/>
      <c r="S13" s="1008"/>
      <c r="T13" s="1008"/>
      <c r="U13" s="1008"/>
      <c r="V13" s="1008"/>
      <c r="W13" s="1008"/>
      <c r="X13" s="1008"/>
      <c r="Y13" s="1008"/>
      <c r="Z13" s="1008"/>
      <c r="AA13" s="1008"/>
      <c r="AB13" s="1008"/>
      <c r="AC13" s="1008"/>
      <c r="AD13" s="1027"/>
      <c r="AE13" s="1008"/>
      <c r="AF13" s="1027"/>
      <c r="AG13" s="1027"/>
      <c r="AH13" s="1027"/>
      <c r="AI13" s="1027"/>
      <c r="AJ13" s="1009"/>
      <c r="AK13" s="1008"/>
      <c r="AL13" s="1008"/>
      <c r="AM13" s="1008"/>
      <c r="AN13" s="1008"/>
      <c r="AO13" s="1008" t="s">
        <v>8</v>
      </c>
      <c r="AP13" s="1008" t="s">
        <v>8</v>
      </c>
      <c r="AQ13" s="1008"/>
      <c r="AR13" s="1008"/>
      <c r="AS13" s="1008"/>
      <c r="AT13" s="1008" t="s">
        <v>8</v>
      </c>
      <c r="AU13" s="1008"/>
      <c r="AV13" s="1008"/>
      <c r="AW13" s="1008"/>
      <c r="AX13" s="1008"/>
      <c r="AY13" s="1008"/>
      <c r="AZ13" s="1009"/>
      <c r="BA13" s="1009"/>
      <c r="BB13" s="1009"/>
      <c r="BC13" s="1009"/>
      <c r="BD13" s="1009"/>
      <c r="BE13" s="1009"/>
      <c r="BF13" s="1010"/>
    </row>
    <row r="14" spans="1:58" s="29" customFormat="1" ht="18" customHeight="1" x14ac:dyDescent="0.2">
      <c r="A14" s="972" t="s">
        <v>71</v>
      </c>
      <c r="B14" s="1005">
        <f t="shared" si="13"/>
        <v>3</v>
      </c>
      <c r="C14" s="1006" t="s">
        <v>8</v>
      </c>
      <c r="D14" s="1008"/>
      <c r="E14" s="1008"/>
      <c r="F14" s="1008" t="s">
        <v>8</v>
      </c>
      <c r="G14" s="1009"/>
      <c r="H14" s="1008"/>
      <c r="I14" s="1008"/>
      <c r="J14" s="1008"/>
      <c r="K14" s="1008"/>
      <c r="L14" s="1008"/>
      <c r="M14" s="1008" t="s">
        <v>8</v>
      </c>
      <c r="N14" s="1008"/>
      <c r="O14" s="1008"/>
      <c r="P14" s="1008"/>
      <c r="Q14" s="1008"/>
      <c r="R14" s="1008"/>
      <c r="S14" s="1008"/>
      <c r="T14" s="1008"/>
      <c r="U14" s="1008"/>
      <c r="V14" s="1008"/>
      <c r="W14" s="1008"/>
      <c r="X14" s="1008"/>
      <c r="Y14" s="1008"/>
      <c r="Z14" s="1008"/>
      <c r="AA14" s="1008"/>
      <c r="AB14" s="1008"/>
      <c r="AC14" s="1008"/>
      <c r="AD14" s="1027"/>
      <c r="AE14" s="1008"/>
      <c r="AF14" s="1027"/>
      <c r="AG14" s="1027"/>
      <c r="AH14" s="1027"/>
      <c r="AI14" s="1027"/>
      <c r="AJ14" s="1009"/>
      <c r="AK14" s="1008"/>
      <c r="AL14" s="1008"/>
      <c r="AM14" s="1008"/>
      <c r="AN14" s="1008"/>
      <c r="AO14" s="1008"/>
      <c r="AP14" s="1008"/>
      <c r="AQ14" s="1008"/>
      <c r="AR14" s="1008"/>
      <c r="AS14" s="1008"/>
      <c r="AT14" s="1008"/>
      <c r="AU14" s="1008"/>
      <c r="AV14" s="1008"/>
      <c r="AW14" s="1008"/>
      <c r="AX14" s="1008"/>
      <c r="AY14" s="1008"/>
      <c r="AZ14" s="1009"/>
      <c r="BA14" s="1009"/>
      <c r="BB14" s="1009"/>
      <c r="BC14" s="1009"/>
      <c r="BD14" s="1009"/>
      <c r="BE14" s="1009"/>
      <c r="BF14" s="1010"/>
    </row>
    <row r="15" spans="1:58" s="29" customFormat="1" ht="18" customHeight="1" x14ac:dyDescent="0.2">
      <c r="A15" s="972" t="s">
        <v>72</v>
      </c>
      <c r="B15" s="1005">
        <f t="shared" si="13"/>
        <v>6</v>
      </c>
      <c r="C15" s="1006"/>
      <c r="D15" s="1008"/>
      <c r="E15" s="1008"/>
      <c r="F15" s="1008"/>
      <c r="G15" s="1009"/>
      <c r="H15" s="1008"/>
      <c r="I15" s="1008"/>
      <c r="J15" s="1008"/>
      <c r="K15" s="1008"/>
      <c r="L15" s="1008"/>
      <c r="M15" s="1008" t="s">
        <v>8</v>
      </c>
      <c r="N15" s="1008" t="s">
        <v>8</v>
      </c>
      <c r="O15" s="1008" t="s">
        <v>8</v>
      </c>
      <c r="P15" s="1008"/>
      <c r="Q15" s="1008"/>
      <c r="R15" s="1008"/>
      <c r="S15" s="1008"/>
      <c r="T15" s="1008"/>
      <c r="U15" s="1008"/>
      <c r="V15" s="1008"/>
      <c r="W15" s="1008"/>
      <c r="X15" s="1008"/>
      <c r="Y15" s="1008"/>
      <c r="Z15" s="1008"/>
      <c r="AA15" s="1008"/>
      <c r="AB15" s="1008"/>
      <c r="AC15" s="1008"/>
      <c r="AD15" s="1027"/>
      <c r="AE15" s="1008"/>
      <c r="AF15" s="1027"/>
      <c r="AG15" s="1027"/>
      <c r="AH15" s="1027"/>
      <c r="AI15" s="1027"/>
      <c r="AJ15" s="1009"/>
      <c r="AK15" s="1008"/>
      <c r="AL15" s="1008"/>
      <c r="AM15" s="1008" t="s">
        <v>8</v>
      </c>
      <c r="AN15" s="1008"/>
      <c r="AO15" s="1008"/>
      <c r="AP15" s="1008"/>
      <c r="AQ15" s="1008"/>
      <c r="AR15" s="1008"/>
      <c r="AS15" s="1008"/>
      <c r="AT15" s="1008"/>
      <c r="AU15" s="1008"/>
      <c r="AV15" s="1008"/>
      <c r="AW15" s="1008"/>
      <c r="AX15" s="1008"/>
      <c r="AY15" s="1008"/>
      <c r="AZ15" s="1009"/>
      <c r="BA15" s="1009"/>
      <c r="BB15" s="1009"/>
      <c r="BC15" s="1009" t="s">
        <v>8</v>
      </c>
      <c r="BD15" s="1009"/>
      <c r="BE15" s="1009" t="s">
        <v>8</v>
      </c>
      <c r="BF15" s="1010"/>
    </row>
    <row r="16" spans="1:58" s="29" customFormat="1" ht="18" customHeight="1" x14ac:dyDescent="0.2">
      <c r="A16" s="972" t="s">
        <v>73</v>
      </c>
      <c r="B16" s="1005">
        <f t="shared" si="13"/>
        <v>4</v>
      </c>
      <c r="C16" s="1006"/>
      <c r="D16" s="1008"/>
      <c r="E16" s="1008"/>
      <c r="F16" s="1008"/>
      <c r="G16" s="1009"/>
      <c r="H16" s="1008"/>
      <c r="I16" s="1008"/>
      <c r="J16" s="1008"/>
      <c r="K16" s="1008"/>
      <c r="L16" s="1008"/>
      <c r="M16" s="1008" t="s">
        <v>8</v>
      </c>
      <c r="N16" s="1008"/>
      <c r="O16" s="1008"/>
      <c r="P16" s="1008"/>
      <c r="Q16" s="1008"/>
      <c r="R16" s="1008"/>
      <c r="S16" s="1008" t="s">
        <v>8</v>
      </c>
      <c r="T16" s="1008"/>
      <c r="U16" s="1008"/>
      <c r="V16" s="1008"/>
      <c r="W16" s="1008"/>
      <c r="X16" s="1008"/>
      <c r="Y16" s="1008"/>
      <c r="Z16" s="1008"/>
      <c r="AA16" s="1008"/>
      <c r="AB16" s="1008"/>
      <c r="AC16" s="1008"/>
      <c r="AD16" s="1027"/>
      <c r="AE16" s="1008"/>
      <c r="AF16" s="1027"/>
      <c r="AG16" s="1027"/>
      <c r="AH16" s="1027"/>
      <c r="AI16" s="1027"/>
      <c r="AJ16" s="1009"/>
      <c r="AK16" s="1008"/>
      <c r="AL16" s="1008"/>
      <c r="AM16" s="1008"/>
      <c r="AN16" s="1008"/>
      <c r="AO16" s="1008"/>
      <c r="AP16" s="1008"/>
      <c r="AQ16" s="1008"/>
      <c r="AR16" s="1008"/>
      <c r="AS16" s="1008"/>
      <c r="AT16" s="1008"/>
      <c r="AU16" s="1008" t="s">
        <v>8</v>
      </c>
      <c r="AV16" s="1008"/>
      <c r="AW16" s="1008"/>
      <c r="AX16" s="1008"/>
      <c r="AY16" s="1008" t="s">
        <v>8</v>
      </c>
      <c r="AZ16" s="1009"/>
      <c r="BA16" s="1009"/>
      <c r="BB16" s="1009"/>
      <c r="BC16" s="1009"/>
      <c r="BD16" s="1009"/>
      <c r="BE16" s="1009"/>
      <c r="BF16" s="1010"/>
    </row>
    <row r="17" spans="1:58" s="29" customFormat="1" ht="18" customHeight="1" x14ac:dyDescent="0.2">
      <c r="A17" s="971" t="s">
        <v>490</v>
      </c>
      <c r="B17" s="1005">
        <f t="shared" si="13"/>
        <v>2</v>
      </c>
      <c r="C17" s="1006"/>
      <c r="D17" s="1008" t="s">
        <v>8</v>
      </c>
      <c r="E17" s="1008"/>
      <c r="F17" s="1008"/>
      <c r="G17" s="1009" t="s">
        <v>8</v>
      </c>
      <c r="H17" s="1008"/>
      <c r="I17" s="1008"/>
      <c r="J17" s="1008"/>
      <c r="K17" s="1008"/>
      <c r="L17" s="1008"/>
      <c r="M17" s="1008"/>
      <c r="N17" s="1008"/>
      <c r="O17" s="1008"/>
      <c r="P17" s="1008"/>
      <c r="Q17" s="1008"/>
      <c r="R17" s="1008"/>
      <c r="S17" s="1008"/>
      <c r="T17" s="1008"/>
      <c r="U17" s="1008"/>
      <c r="V17" s="1008"/>
      <c r="W17" s="1008"/>
      <c r="X17" s="1008"/>
      <c r="Y17" s="1008"/>
      <c r="Z17" s="1008"/>
      <c r="AA17" s="1008"/>
      <c r="AB17" s="1008"/>
      <c r="AC17" s="1008"/>
      <c r="AD17" s="1027"/>
      <c r="AE17" s="1008"/>
      <c r="AF17" s="1027"/>
      <c r="AG17" s="1027"/>
      <c r="AH17" s="1027"/>
      <c r="AI17" s="1027"/>
      <c r="AJ17" s="1009"/>
      <c r="AK17" s="1008"/>
      <c r="AL17" s="1008"/>
      <c r="AM17" s="1008"/>
      <c r="AN17" s="1008"/>
      <c r="AO17" s="1008"/>
      <c r="AP17" s="1008"/>
      <c r="AQ17" s="1008"/>
      <c r="AR17" s="1008"/>
      <c r="AS17" s="1008"/>
      <c r="AT17" s="1008"/>
      <c r="AU17" s="1008"/>
      <c r="AV17" s="1008"/>
      <c r="AW17" s="1008"/>
      <c r="AX17" s="1008"/>
      <c r="AY17" s="1008"/>
      <c r="AZ17" s="1009"/>
      <c r="BA17" s="1009"/>
      <c r="BB17" s="1009"/>
      <c r="BC17" s="1009"/>
      <c r="BD17" s="1009"/>
      <c r="BE17" s="1009"/>
      <c r="BF17" s="1010"/>
    </row>
    <row r="18" spans="1:58" s="29" customFormat="1" ht="18" customHeight="1" x14ac:dyDescent="0.2">
      <c r="A18" s="972" t="s">
        <v>76</v>
      </c>
      <c r="B18" s="1005">
        <f t="shared" si="13"/>
        <v>4</v>
      </c>
      <c r="C18" s="1006"/>
      <c r="D18" s="1008"/>
      <c r="E18" s="1008"/>
      <c r="F18" s="1008"/>
      <c r="G18" s="1009"/>
      <c r="H18" s="1008"/>
      <c r="I18" s="1008"/>
      <c r="J18" s="1008"/>
      <c r="K18" s="1008"/>
      <c r="L18" s="1008"/>
      <c r="M18" s="1008" t="s">
        <v>8</v>
      </c>
      <c r="N18" s="1008" t="s">
        <v>8</v>
      </c>
      <c r="O18" s="1008"/>
      <c r="P18" s="1008"/>
      <c r="Q18" s="1008"/>
      <c r="R18" s="1008"/>
      <c r="S18" s="1008"/>
      <c r="T18" s="1008"/>
      <c r="U18" s="1008" t="s">
        <v>8</v>
      </c>
      <c r="V18" s="1008"/>
      <c r="W18" s="1008"/>
      <c r="X18" s="1008"/>
      <c r="Y18" s="1008"/>
      <c r="Z18" s="1008"/>
      <c r="AA18" s="1008"/>
      <c r="AB18" s="1008"/>
      <c r="AC18" s="1008" t="s">
        <v>8</v>
      </c>
      <c r="AD18" s="1027"/>
      <c r="AE18" s="1008"/>
      <c r="AF18" s="1027"/>
      <c r="AG18" s="1027"/>
      <c r="AH18" s="1027"/>
      <c r="AI18" s="1027"/>
      <c r="AJ18" s="1009"/>
      <c r="AK18" s="1008"/>
      <c r="AL18" s="1008"/>
      <c r="AM18" s="1008"/>
      <c r="AN18" s="1008"/>
      <c r="AO18" s="1008"/>
      <c r="AP18" s="1008"/>
      <c r="AQ18" s="1008"/>
      <c r="AR18" s="1008"/>
      <c r="AS18" s="1008"/>
      <c r="AT18" s="1008"/>
      <c r="AU18" s="1008"/>
      <c r="AV18" s="1008"/>
      <c r="AW18" s="1008"/>
      <c r="AX18" s="1008"/>
      <c r="AY18" s="1008"/>
      <c r="AZ18" s="1009"/>
      <c r="BA18" s="1009"/>
      <c r="BB18" s="1009"/>
      <c r="BC18" s="1009"/>
      <c r="BD18" s="1009"/>
      <c r="BE18" s="1009"/>
      <c r="BF18" s="1010"/>
    </row>
    <row r="19" spans="1:58" s="29" customFormat="1" ht="18" customHeight="1" x14ac:dyDescent="0.2">
      <c r="A19" s="972" t="s">
        <v>77</v>
      </c>
      <c r="B19" s="1005">
        <f t="shared" si="13"/>
        <v>5</v>
      </c>
      <c r="C19" s="1006"/>
      <c r="D19" s="1008"/>
      <c r="E19" s="1008"/>
      <c r="F19" s="1008"/>
      <c r="G19" s="1009"/>
      <c r="H19" s="1008"/>
      <c r="I19" s="1008"/>
      <c r="J19" s="1008"/>
      <c r="K19" s="1008"/>
      <c r="L19" s="1008"/>
      <c r="M19" s="1008" t="s">
        <v>8</v>
      </c>
      <c r="N19" s="1008"/>
      <c r="O19" s="1008"/>
      <c r="P19" s="1008"/>
      <c r="Q19" s="1008"/>
      <c r="R19" s="1008" t="s">
        <v>8</v>
      </c>
      <c r="S19" s="1008" t="s">
        <v>8</v>
      </c>
      <c r="T19" s="1008"/>
      <c r="U19" s="1008"/>
      <c r="V19" s="1008"/>
      <c r="W19" s="1008"/>
      <c r="X19" s="1008"/>
      <c r="Y19" s="1008"/>
      <c r="Z19" s="1008"/>
      <c r="AA19" s="1008"/>
      <c r="AB19" s="1008"/>
      <c r="AC19" s="1008"/>
      <c r="AD19" s="1027"/>
      <c r="AE19" s="1008"/>
      <c r="AF19" s="1027"/>
      <c r="AG19" s="1027"/>
      <c r="AH19" s="1027"/>
      <c r="AI19" s="1027"/>
      <c r="AJ19" s="1009" t="s">
        <v>8</v>
      </c>
      <c r="AK19" s="1008"/>
      <c r="AL19" s="1008" t="s">
        <v>8</v>
      </c>
      <c r="AM19" s="1008"/>
      <c r="AN19" s="1008"/>
      <c r="AO19" s="1008"/>
      <c r="AP19" s="1008"/>
      <c r="AQ19" s="1008"/>
      <c r="AR19" s="1008"/>
      <c r="AS19" s="1008"/>
      <c r="AT19" s="1008"/>
      <c r="AU19" s="1008"/>
      <c r="AV19" s="1008"/>
      <c r="AW19" s="1008"/>
      <c r="AX19" s="1008"/>
      <c r="AY19" s="1008"/>
      <c r="AZ19" s="1009"/>
      <c r="BA19" s="1009"/>
      <c r="BB19" s="1009"/>
      <c r="BC19" s="1009"/>
      <c r="BD19" s="1009"/>
      <c r="BE19" s="1009"/>
      <c r="BF19" s="1010"/>
    </row>
    <row r="20" spans="1:58" s="29" customFormat="1" ht="18" customHeight="1" x14ac:dyDescent="0.2">
      <c r="A20" s="972" t="s">
        <v>78</v>
      </c>
      <c r="B20" s="1005">
        <f t="shared" si="13"/>
        <v>6</v>
      </c>
      <c r="C20" s="1006"/>
      <c r="D20" s="1008"/>
      <c r="E20" s="1008"/>
      <c r="F20" s="1008"/>
      <c r="G20" s="1009"/>
      <c r="H20" s="1008"/>
      <c r="I20" s="1008"/>
      <c r="J20" s="1008"/>
      <c r="K20" s="1008"/>
      <c r="L20" s="1008"/>
      <c r="M20" s="1008" t="s">
        <v>8</v>
      </c>
      <c r="N20" s="1008" t="s">
        <v>8</v>
      </c>
      <c r="O20" s="1008"/>
      <c r="P20" s="1008"/>
      <c r="Q20" s="1008" t="s">
        <v>8</v>
      </c>
      <c r="R20" s="1008"/>
      <c r="S20" s="1008"/>
      <c r="T20" s="1008"/>
      <c r="U20" s="1008"/>
      <c r="V20" s="1008"/>
      <c r="W20" s="1008"/>
      <c r="X20" s="1008" t="s">
        <v>8</v>
      </c>
      <c r="Y20" s="1008" t="s">
        <v>8</v>
      </c>
      <c r="Z20" s="1008"/>
      <c r="AA20" s="1008"/>
      <c r="AB20" s="1008"/>
      <c r="AC20" s="1008"/>
      <c r="AD20" s="1027"/>
      <c r="AE20" s="1008"/>
      <c r="AF20" s="1027"/>
      <c r="AG20" s="1027"/>
      <c r="AH20" s="1027"/>
      <c r="AI20" s="1027"/>
      <c r="AJ20" s="1009"/>
      <c r="AK20" s="1008"/>
      <c r="AL20" s="1008"/>
      <c r="AM20" s="1008"/>
      <c r="AN20" s="1008"/>
      <c r="AO20" s="1008"/>
      <c r="AP20" s="1008"/>
      <c r="AQ20" s="1008"/>
      <c r="AR20" s="1008"/>
      <c r="AS20" s="1008"/>
      <c r="AT20" s="1008"/>
      <c r="AU20" s="1008"/>
      <c r="AV20" s="1008"/>
      <c r="AW20" s="1008"/>
      <c r="AX20" s="1008"/>
      <c r="AY20" s="1008"/>
      <c r="AZ20" s="1009"/>
      <c r="BA20" s="1009"/>
      <c r="BB20" s="1009" t="s">
        <v>8</v>
      </c>
      <c r="BC20" s="1009"/>
      <c r="BD20" s="1009"/>
      <c r="BE20" s="1009"/>
      <c r="BF20" s="1010"/>
    </row>
    <row r="21" spans="1:58" s="29" customFormat="1" ht="18" customHeight="1" x14ac:dyDescent="0.2">
      <c r="A21" s="972" t="s">
        <v>79</v>
      </c>
      <c r="B21" s="1005">
        <f t="shared" si="13"/>
        <v>3</v>
      </c>
      <c r="C21" s="1006"/>
      <c r="D21" s="1008"/>
      <c r="E21" s="1008"/>
      <c r="F21" s="1008"/>
      <c r="G21" s="1009"/>
      <c r="H21" s="1008" t="s">
        <v>8</v>
      </c>
      <c r="I21" s="1008" t="s">
        <v>8</v>
      </c>
      <c r="J21" s="1008"/>
      <c r="K21" s="1008"/>
      <c r="L21" s="1008"/>
      <c r="M21" s="1008" t="s">
        <v>8</v>
      </c>
      <c r="N21" s="1008"/>
      <c r="O21" s="1008"/>
      <c r="P21" s="1008"/>
      <c r="Q21" s="1008"/>
      <c r="R21" s="1008"/>
      <c r="S21" s="1008"/>
      <c r="T21" s="1008"/>
      <c r="U21" s="1008"/>
      <c r="V21" s="1008"/>
      <c r="W21" s="1008"/>
      <c r="X21" s="1008"/>
      <c r="Y21" s="1008"/>
      <c r="Z21" s="1008"/>
      <c r="AA21" s="1008"/>
      <c r="AB21" s="1008"/>
      <c r="AC21" s="1008"/>
      <c r="AD21" s="1027"/>
      <c r="AE21" s="1008"/>
      <c r="AF21" s="1027"/>
      <c r="AG21" s="1027"/>
      <c r="AH21" s="1027"/>
      <c r="AI21" s="1027"/>
      <c r="AJ21" s="1009"/>
      <c r="AK21" s="1008"/>
      <c r="AL21" s="1008"/>
      <c r="AM21" s="1008"/>
      <c r="AN21" s="1008"/>
      <c r="AO21" s="1008"/>
      <c r="AP21" s="1008"/>
      <c r="AQ21" s="1008"/>
      <c r="AR21" s="1008"/>
      <c r="AS21" s="1008"/>
      <c r="AT21" s="1008"/>
      <c r="AU21" s="1008"/>
      <c r="AV21" s="1008"/>
      <c r="AW21" s="1024"/>
      <c r="AX21" s="1008"/>
      <c r="AY21" s="1008"/>
      <c r="AZ21" s="1009"/>
      <c r="BA21" s="1009"/>
      <c r="BB21" s="1009"/>
      <c r="BC21" s="1009"/>
      <c r="BD21" s="1009"/>
      <c r="BE21" s="1009"/>
      <c r="BF21" s="1010"/>
    </row>
    <row r="22" spans="1:58" s="29" customFormat="1" ht="18" customHeight="1" x14ac:dyDescent="0.2">
      <c r="A22" s="972" t="s">
        <v>80</v>
      </c>
      <c r="B22" s="1005">
        <f t="shared" si="13"/>
        <v>2</v>
      </c>
      <c r="C22" s="1006"/>
      <c r="D22" s="1008"/>
      <c r="E22" s="1008"/>
      <c r="F22" s="1008" t="s">
        <v>8</v>
      </c>
      <c r="G22" s="1009"/>
      <c r="H22" s="1008"/>
      <c r="I22" s="1008"/>
      <c r="J22" s="1008"/>
      <c r="K22" s="1008"/>
      <c r="L22" s="1008"/>
      <c r="M22" s="1008" t="s">
        <v>8</v>
      </c>
      <c r="N22" s="1008"/>
      <c r="O22" s="1008"/>
      <c r="P22" s="1008"/>
      <c r="Q22" s="1008"/>
      <c r="R22" s="1008"/>
      <c r="S22" s="1008"/>
      <c r="T22" s="1008"/>
      <c r="U22" s="1008"/>
      <c r="V22" s="1008"/>
      <c r="W22" s="1008"/>
      <c r="X22" s="1008"/>
      <c r="Y22" s="1008"/>
      <c r="Z22" s="1008"/>
      <c r="AA22" s="1008"/>
      <c r="AB22" s="1008"/>
      <c r="AC22" s="1008"/>
      <c r="AD22" s="1027"/>
      <c r="AE22" s="1008"/>
      <c r="AF22" s="1027"/>
      <c r="AG22" s="1027"/>
      <c r="AH22" s="1027"/>
      <c r="AI22" s="1027"/>
      <c r="AJ22" s="1009"/>
      <c r="AK22" s="1008"/>
      <c r="AL22" s="1008"/>
      <c r="AM22" s="1008"/>
      <c r="AN22" s="1008"/>
      <c r="AO22" s="1008"/>
      <c r="AP22" s="1008"/>
      <c r="AQ22" s="1008"/>
      <c r="AR22" s="1008"/>
      <c r="AS22" s="1008"/>
      <c r="AT22" s="1008"/>
      <c r="AU22" s="1008"/>
      <c r="AV22" s="1008"/>
      <c r="AW22" s="1008"/>
      <c r="AX22" s="1008"/>
      <c r="AY22" s="1008"/>
      <c r="AZ22" s="1009"/>
      <c r="BA22" s="1009"/>
      <c r="BB22" s="1009"/>
      <c r="BC22" s="1009"/>
      <c r="BD22" s="1009"/>
      <c r="BE22" s="1009"/>
      <c r="BF22" s="1010"/>
    </row>
    <row r="23" spans="1:58" s="29" customFormat="1" ht="18" customHeight="1" x14ac:dyDescent="0.2">
      <c r="A23" s="971" t="s">
        <v>258</v>
      </c>
      <c r="B23" s="1005">
        <f t="shared" si="13"/>
        <v>1</v>
      </c>
      <c r="C23" s="1006"/>
      <c r="D23" s="1008"/>
      <c r="E23" s="1008"/>
      <c r="F23" s="1008"/>
      <c r="G23" s="1009"/>
      <c r="H23" s="1008"/>
      <c r="I23" s="1008"/>
      <c r="J23" s="1008" t="s">
        <v>8</v>
      </c>
      <c r="K23" s="1008"/>
      <c r="L23" s="1008"/>
      <c r="M23" s="1008"/>
      <c r="N23" s="1008"/>
      <c r="O23" s="1008"/>
      <c r="P23" s="1008"/>
      <c r="Q23" s="1008"/>
      <c r="R23" s="1008"/>
      <c r="S23" s="1008"/>
      <c r="T23" s="1008"/>
      <c r="U23" s="1008"/>
      <c r="V23" s="1008"/>
      <c r="W23" s="1008"/>
      <c r="X23" s="1008"/>
      <c r="Y23" s="1008"/>
      <c r="Z23" s="1008"/>
      <c r="AA23" s="1008"/>
      <c r="AB23" s="1008"/>
      <c r="AC23" s="1008"/>
      <c r="AD23" s="1027"/>
      <c r="AE23" s="1008"/>
      <c r="AF23" s="1027"/>
      <c r="AG23" s="1027"/>
      <c r="AH23" s="1027"/>
      <c r="AI23" s="1027"/>
      <c r="AJ23" s="1009"/>
      <c r="AK23" s="1008"/>
      <c r="AL23" s="1008"/>
      <c r="AM23" s="1008"/>
      <c r="AN23" s="1008"/>
      <c r="AO23" s="1008"/>
      <c r="AP23" s="1008"/>
      <c r="AQ23" s="1008"/>
      <c r="AR23" s="1008"/>
      <c r="AS23" s="1008"/>
      <c r="AT23" s="1008"/>
      <c r="AU23" s="1008"/>
      <c r="AV23" s="1008"/>
      <c r="AW23" s="1008"/>
      <c r="AX23" s="1008"/>
      <c r="AY23" s="1008"/>
      <c r="AZ23" s="1009"/>
      <c r="BA23" s="1009"/>
      <c r="BB23" s="1009"/>
      <c r="BC23" s="1009"/>
      <c r="BD23" s="1009"/>
      <c r="BE23" s="1009"/>
      <c r="BF23" s="1010"/>
    </row>
    <row r="24" spans="1:58" s="29" customFormat="1" ht="18" customHeight="1" x14ac:dyDescent="0.2">
      <c r="A24" s="972" t="s">
        <v>39</v>
      </c>
      <c r="B24" s="1005">
        <f t="shared" si="13"/>
        <v>1</v>
      </c>
      <c r="C24" s="1006"/>
      <c r="D24" s="1008"/>
      <c r="E24" s="1008"/>
      <c r="F24" s="1008"/>
      <c r="G24" s="1009"/>
      <c r="H24" s="1008"/>
      <c r="I24" s="1008"/>
      <c r="J24" s="1008"/>
      <c r="K24" s="1008" t="s">
        <v>8</v>
      </c>
      <c r="L24" s="1008"/>
      <c r="M24" s="1008"/>
      <c r="N24" s="1008"/>
      <c r="O24" s="1008"/>
      <c r="P24" s="1008"/>
      <c r="Q24" s="1008"/>
      <c r="R24" s="1008"/>
      <c r="S24" s="1008"/>
      <c r="T24" s="1008"/>
      <c r="U24" s="1008"/>
      <c r="V24" s="1008"/>
      <c r="W24" s="1008"/>
      <c r="X24" s="1008"/>
      <c r="Y24" s="1008"/>
      <c r="Z24" s="1008"/>
      <c r="AA24" s="1008"/>
      <c r="AB24" s="1008"/>
      <c r="AC24" s="1008"/>
      <c r="AD24" s="1027"/>
      <c r="AE24" s="1008"/>
      <c r="AF24" s="1027"/>
      <c r="AG24" s="1027"/>
      <c r="AH24" s="1027"/>
      <c r="AI24" s="1027"/>
      <c r="AJ24" s="1009"/>
      <c r="AK24" s="1008"/>
      <c r="AL24" s="1008"/>
      <c r="AM24" s="1008"/>
      <c r="AN24" s="1008"/>
      <c r="AO24" s="1008"/>
      <c r="AP24" s="1008"/>
      <c r="AQ24" s="1008"/>
      <c r="AR24" s="1008"/>
      <c r="AS24" s="1008"/>
      <c r="AT24" s="1008"/>
      <c r="AU24" s="1008"/>
      <c r="AV24" s="1008"/>
      <c r="AW24" s="1008"/>
      <c r="AX24" s="1008"/>
      <c r="AY24" s="1008"/>
      <c r="AZ24" s="1009"/>
      <c r="BA24" s="1009"/>
      <c r="BB24" s="1009"/>
      <c r="BC24" s="1009"/>
      <c r="BD24" s="1009"/>
      <c r="BE24" s="1009"/>
      <c r="BF24" s="1010"/>
    </row>
    <row r="25" spans="1:58" s="29" customFormat="1" ht="18" customHeight="1" x14ac:dyDescent="0.2">
      <c r="A25" s="972" t="s">
        <v>84</v>
      </c>
      <c r="B25" s="1005">
        <f t="shared" si="13"/>
        <v>3</v>
      </c>
      <c r="C25" s="1006"/>
      <c r="D25" s="1008"/>
      <c r="E25" s="1008"/>
      <c r="F25" s="1008"/>
      <c r="G25" s="1009"/>
      <c r="H25" s="1008"/>
      <c r="I25" s="1008"/>
      <c r="J25" s="1008"/>
      <c r="K25" s="1008"/>
      <c r="L25" s="1008"/>
      <c r="M25" s="1008"/>
      <c r="N25" s="1008"/>
      <c r="O25" s="1008"/>
      <c r="P25" s="1008"/>
      <c r="Q25" s="1008" t="s">
        <v>8</v>
      </c>
      <c r="R25" s="1008"/>
      <c r="S25" s="1008"/>
      <c r="T25" s="1008"/>
      <c r="U25" s="1008"/>
      <c r="V25" s="1008"/>
      <c r="W25" s="1008"/>
      <c r="X25" s="1008" t="s">
        <v>8</v>
      </c>
      <c r="Y25" s="1008"/>
      <c r="Z25" s="1008"/>
      <c r="AA25" s="1008"/>
      <c r="AB25" s="1008"/>
      <c r="AC25" s="1008"/>
      <c r="AD25" s="1027"/>
      <c r="AE25" s="1008"/>
      <c r="AF25" s="1027"/>
      <c r="AG25" s="1027"/>
      <c r="AH25" s="1027"/>
      <c r="AI25" s="1027"/>
      <c r="AJ25" s="1009"/>
      <c r="AK25" s="1008"/>
      <c r="AL25" s="1008"/>
      <c r="AM25" s="1008"/>
      <c r="AN25" s="1008"/>
      <c r="AO25" s="1008"/>
      <c r="AP25" s="1008"/>
      <c r="AQ25" s="1008"/>
      <c r="AR25" s="1008"/>
      <c r="AS25" s="1008"/>
      <c r="AT25" s="1008"/>
      <c r="AU25" s="1008"/>
      <c r="AV25" s="1008"/>
      <c r="AW25" s="1008"/>
      <c r="AX25" s="1008"/>
      <c r="AY25" s="1008"/>
      <c r="AZ25" s="1009"/>
      <c r="BA25" s="1009"/>
      <c r="BB25" s="1009" t="s">
        <v>8</v>
      </c>
      <c r="BC25" s="1009"/>
      <c r="BD25" s="1009"/>
      <c r="BE25" s="1009"/>
      <c r="BF25" s="1010"/>
    </row>
    <row r="26" spans="1:58" s="29" customFormat="1" ht="18" customHeight="1" x14ac:dyDescent="0.2">
      <c r="A26" s="1023" t="s">
        <v>299</v>
      </c>
      <c r="B26" s="1005">
        <f t="shared" si="13"/>
        <v>0</v>
      </c>
      <c r="C26" s="1006"/>
      <c r="D26" s="1008"/>
      <c r="E26" s="1008"/>
      <c r="F26" s="1008"/>
      <c r="G26" s="1009"/>
      <c r="H26" s="1008"/>
      <c r="I26" s="1008"/>
      <c r="J26" s="1008"/>
      <c r="K26" s="1008"/>
      <c r="L26" s="1008"/>
      <c r="M26" s="1008"/>
      <c r="N26" s="1008"/>
      <c r="O26" s="1008"/>
      <c r="P26" s="1008"/>
      <c r="Q26" s="1008"/>
      <c r="R26" s="1008"/>
      <c r="S26" s="1008"/>
      <c r="T26" s="1008"/>
      <c r="U26" s="1008"/>
      <c r="V26" s="1008"/>
      <c r="W26" s="1008"/>
      <c r="X26" s="1008"/>
      <c r="Y26" s="1008"/>
      <c r="Z26" s="1008"/>
      <c r="AA26" s="1008"/>
      <c r="AB26" s="1008"/>
      <c r="AC26" s="1008"/>
      <c r="AD26" s="1027"/>
      <c r="AE26" s="1008"/>
      <c r="AF26" s="1027"/>
      <c r="AG26" s="1027"/>
      <c r="AH26" s="1027"/>
      <c r="AI26" s="1027"/>
      <c r="AJ26" s="1009"/>
      <c r="AK26" s="1008"/>
      <c r="AL26" s="1008"/>
      <c r="AM26" s="1008"/>
      <c r="AN26" s="1008"/>
      <c r="AO26" s="1008"/>
      <c r="AP26" s="1008"/>
      <c r="AQ26" s="1008"/>
      <c r="AR26" s="1008"/>
      <c r="AS26" s="1008"/>
      <c r="AT26" s="1008"/>
      <c r="AU26" s="1008"/>
      <c r="AV26" s="1008"/>
      <c r="AW26" s="1008"/>
      <c r="AX26" s="1008"/>
      <c r="AY26" s="1008"/>
      <c r="AZ26" s="1009"/>
      <c r="BA26" s="1009"/>
      <c r="BB26" s="1009"/>
      <c r="BC26" s="1009"/>
      <c r="BD26" s="1009"/>
      <c r="BE26" s="1009"/>
      <c r="BF26" s="1010"/>
    </row>
    <row r="27" spans="1:58" s="29" customFormat="1" ht="18" customHeight="1" x14ac:dyDescent="0.2">
      <c r="A27" s="971" t="s">
        <v>130</v>
      </c>
      <c r="B27" s="1005">
        <f t="shared" si="13"/>
        <v>1</v>
      </c>
      <c r="C27" s="1006"/>
      <c r="D27" s="1008"/>
      <c r="E27" s="1008"/>
      <c r="F27" s="1008"/>
      <c r="G27" s="1009"/>
      <c r="H27" s="1008"/>
      <c r="I27" s="1008"/>
      <c r="J27" s="1008"/>
      <c r="K27" s="1008"/>
      <c r="L27" s="1008"/>
      <c r="M27" s="1008"/>
      <c r="N27" s="1008"/>
      <c r="O27" s="1008"/>
      <c r="P27" s="1008"/>
      <c r="Q27" s="1008"/>
      <c r="R27" s="1008"/>
      <c r="S27" s="1008"/>
      <c r="T27" s="1008"/>
      <c r="U27" s="1008"/>
      <c r="V27" s="1008"/>
      <c r="W27" s="1008"/>
      <c r="X27" s="1008"/>
      <c r="Y27" s="1008"/>
      <c r="Z27" s="1008"/>
      <c r="AA27" s="1008"/>
      <c r="AB27" s="1008"/>
      <c r="AC27" s="1008"/>
      <c r="AD27" s="1027"/>
      <c r="AE27" s="1008"/>
      <c r="AF27" s="1027"/>
      <c r="AG27" s="1027"/>
      <c r="AH27" s="1027"/>
      <c r="AI27" s="1027"/>
      <c r="AJ27" s="1009"/>
      <c r="AK27" s="1008"/>
      <c r="AL27" s="1008"/>
      <c r="AM27" s="1008"/>
      <c r="AN27" s="1008" t="s">
        <v>8</v>
      </c>
      <c r="AO27" s="1008"/>
      <c r="AP27" s="1008"/>
      <c r="AQ27" s="1008"/>
      <c r="AR27" s="1008"/>
      <c r="AS27" s="1008"/>
      <c r="AT27" s="1008"/>
      <c r="AU27" s="1008"/>
      <c r="AV27" s="1008"/>
      <c r="AW27" s="1008"/>
      <c r="AX27" s="1008"/>
      <c r="AY27" s="1008"/>
      <c r="AZ27" s="1009"/>
      <c r="BA27" s="1009"/>
      <c r="BB27" s="1009"/>
      <c r="BC27" s="1009"/>
      <c r="BD27" s="1009"/>
      <c r="BE27" s="1009"/>
      <c r="BF27" s="1010"/>
    </row>
    <row r="28" spans="1:58" s="29" customFormat="1" ht="18" customHeight="1" x14ac:dyDescent="0.2">
      <c r="A28" s="972" t="s">
        <v>85</v>
      </c>
      <c r="B28" s="1005">
        <f t="shared" si="13"/>
        <v>3</v>
      </c>
      <c r="C28" s="1006"/>
      <c r="D28" s="1008"/>
      <c r="E28" s="1008"/>
      <c r="F28" s="1008"/>
      <c r="G28" s="1009"/>
      <c r="H28" s="1008"/>
      <c r="I28" s="1008"/>
      <c r="J28" s="1008"/>
      <c r="K28" s="1008"/>
      <c r="L28" s="1008"/>
      <c r="M28" s="1008" t="s">
        <v>8</v>
      </c>
      <c r="N28" s="1008"/>
      <c r="O28" s="1008"/>
      <c r="P28" s="1008"/>
      <c r="Q28" s="1008"/>
      <c r="R28" s="1008"/>
      <c r="S28" s="1008"/>
      <c r="T28" s="1008"/>
      <c r="U28" s="1008"/>
      <c r="V28" s="1008"/>
      <c r="W28" s="1008"/>
      <c r="X28" s="1008"/>
      <c r="Y28" s="1008"/>
      <c r="Z28" s="1008"/>
      <c r="AA28" s="1008"/>
      <c r="AB28" s="1008"/>
      <c r="AC28" s="1008"/>
      <c r="AD28" s="1027"/>
      <c r="AE28" s="1008"/>
      <c r="AF28" s="1027"/>
      <c r="AG28" s="1027"/>
      <c r="AH28" s="1027"/>
      <c r="AI28" s="1027"/>
      <c r="AJ28" s="1009"/>
      <c r="AK28" s="1008"/>
      <c r="AL28" s="1008"/>
      <c r="AM28" s="1008"/>
      <c r="AN28" s="1008"/>
      <c r="AO28" s="1008"/>
      <c r="AP28" s="1008"/>
      <c r="AQ28" s="1008"/>
      <c r="AR28" s="1008"/>
      <c r="AS28" s="1008"/>
      <c r="AT28" s="1008"/>
      <c r="AU28" s="1008"/>
      <c r="AV28" s="1008"/>
      <c r="AW28" s="1008" t="s">
        <v>8</v>
      </c>
      <c r="AX28" s="1008" t="s">
        <v>8</v>
      </c>
      <c r="AY28" s="1008"/>
      <c r="AZ28" s="1009"/>
      <c r="BA28" s="1009"/>
      <c r="BB28" s="1009"/>
      <c r="BC28" s="1009"/>
      <c r="BD28" s="1009"/>
      <c r="BE28" s="1009"/>
      <c r="BF28" s="1010"/>
    </row>
    <row r="29" spans="1:58" s="29" customFormat="1" ht="18" customHeight="1" x14ac:dyDescent="0.2">
      <c r="A29" s="972" t="s">
        <v>40</v>
      </c>
      <c r="B29" s="1005">
        <f t="shared" si="13"/>
        <v>3</v>
      </c>
      <c r="C29" s="1006"/>
      <c r="D29" s="1008"/>
      <c r="E29" s="1008"/>
      <c r="F29" s="1008"/>
      <c r="G29" s="1009"/>
      <c r="H29" s="1008" t="s">
        <v>8</v>
      </c>
      <c r="I29" s="1008" t="s">
        <v>8</v>
      </c>
      <c r="J29" s="1008"/>
      <c r="K29" s="1008"/>
      <c r="L29" s="1008"/>
      <c r="M29" s="1008" t="s">
        <v>8</v>
      </c>
      <c r="N29" s="1008"/>
      <c r="O29" s="1008"/>
      <c r="P29" s="1008"/>
      <c r="Q29" s="1008"/>
      <c r="R29" s="1008"/>
      <c r="S29" s="1008"/>
      <c r="T29" s="1008"/>
      <c r="U29" s="1008"/>
      <c r="V29" s="1008"/>
      <c r="W29" s="1008"/>
      <c r="X29" s="1008"/>
      <c r="Y29" s="1008"/>
      <c r="Z29" s="1008"/>
      <c r="AA29" s="1008"/>
      <c r="AB29" s="1008"/>
      <c r="AC29" s="1008"/>
      <c r="AD29" s="1027"/>
      <c r="AE29" s="1008"/>
      <c r="AF29" s="1027"/>
      <c r="AG29" s="1027"/>
      <c r="AH29" s="1027"/>
      <c r="AI29" s="1027"/>
      <c r="AJ29" s="1009"/>
      <c r="AK29" s="1008"/>
      <c r="AL29" s="1008"/>
      <c r="AM29" s="1008"/>
      <c r="AN29" s="1008"/>
      <c r="AO29" s="1008"/>
      <c r="AP29" s="1008"/>
      <c r="AQ29" s="1008"/>
      <c r="AR29" s="1008"/>
      <c r="AS29" s="1008"/>
      <c r="AT29" s="1008"/>
      <c r="AU29" s="1008"/>
      <c r="AV29" s="1008"/>
      <c r="AW29" s="1008"/>
      <c r="AX29" s="1008"/>
      <c r="AY29" s="1008"/>
      <c r="AZ29" s="1009"/>
      <c r="BA29" s="1009"/>
      <c r="BB29" s="1009"/>
      <c r="BC29" s="1009"/>
      <c r="BD29" s="1009"/>
      <c r="BE29" s="1009"/>
      <c r="BF29" s="1010"/>
    </row>
    <row r="30" spans="1:58" s="29" customFormat="1" ht="18" customHeight="1" x14ac:dyDescent="0.2">
      <c r="A30" s="972" t="s">
        <v>41</v>
      </c>
      <c r="B30" s="1005">
        <f t="shared" si="13"/>
        <v>1</v>
      </c>
      <c r="C30" s="1006"/>
      <c r="D30" s="1008"/>
      <c r="E30" s="1008"/>
      <c r="F30" s="1008"/>
      <c r="G30" s="1009"/>
      <c r="H30" s="1008"/>
      <c r="I30" s="1008"/>
      <c r="J30" s="1008"/>
      <c r="K30" s="1008" t="s">
        <v>8</v>
      </c>
      <c r="L30" s="1008"/>
      <c r="M30" s="1008"/>
      <c r="N30" s="1008"/>
      <c r="O30" s="1008"/>
      <c r="P30" s="1008"/>
      <c r="Q30" s="1008"/>
      <c r="R30" s="1008"/>
      <c r="S30" s="1008"/>
      <c r="T30" s="1008"/>
      <c r="U30" s="1008"/>
      <c r="V30" s="1008"/>
      <c r="W30" s="1008"/>
      <c r="X30" s="1008"/>
      <c r="Y30" s="1008"/>
      <c r="Z30" s="1008"/>
      <c r="AA30" s="1008"/>
      <c r="AB30" s="1008"/>
      <c r="AC30" s="1008"/>
      <c r="AD30" s="1027"/>
      <c r="AE30" s="1008"/>
      <c r="AF30" s="1027"/>
      <c r="AG30" s="1027"/>
      <c r="AH30" s="1027"/>
      <c r="AI30" s="1027"/>
      <c r="AJ30" s="1009"/>
      <c r="AK30" s="1008"/>
      <c r="AL30" s="1008"/>
      <c r="AM30" s="1008"/>
      <c r="AN30" s="1008"/>
      <c r="AO30" s="1008"/>
      <c r="AP30" s="1008"/>
      <c r="AQ30" s="1008"/>
      <c r="AR30" s="1008"/>
      <c r="AS30" s="1008"/>
      <c r="AT30" s="1008"/>
      <c r="AU30" s="1008"/>
      <c r="AV30" s="1008"/>
      <c r="AW30" s="1008"/>
      <c r="AX30" s="1008"/>
      <c r="AY30" s="1008"/>
      <c r="AZ30" s="1009"/>
      <c r="BA30" s="1009"/>
      <c r="BB30" s="1009"/>
      <c r="BC30" s="1009"/>
      <c r="BD30" s="1009"/>
      <c r="BE30" s="1009"/>
      <c r="BF30" s="1010"/>
    </row>
    <row r="31" spans="1:58" s="29" customFormat="1" ht="18" customHeight="1" x14ac:dyDescent="0.2">
      <c r="A31" s="972" t="s">
        <v>86</v>
      </c>
      <c r="B31" s="1005">
        <f t="shared" si="13"/>
        <v>4</v>
      </c>
      <c r="C31" s="1006"/>
      <c r="D31" s="1008"/>
      <c r="E31" s="1008"/>
      <c r="F31" s="1008"/>
      <c r="G31" s="1009"/>
      <c r="H31" s="1008"/>
      <c r="I31" s="1008"/>
      <c r="J31" s="1008"/>
      <c r="K31" s="1008"/>
      <c r="L31" s="1008"/>
      <c r="M31" s="1008" t="s">
        <v>8</v>
      </c>
      <c r="N31" s="1008"/>
      <c r="O31" s="1008"/>
      <c r="P31" s="1008"/>
      <c r="Q31" s="1008"/>
      <c r="R31" s="1008"/>
      <c r="S31" s="1008"/>
      <c r="T31" s="1008"/>
      <c r="U31" s="1008"/>
      <c r="V31" s="1008"/>
      <c r="W31" s="1008"/>
      <c r="X31" s="1008"/>
      <c r="Y31" s="1008"/>
      <c r="Z31" s="1008" t="s">
        <v>8</v>
      </c>
      <c r="AA31" s="1008"/>
      <c r="AB31" s="1008"/>
      <c r="AC31" s="1008"/>
      <c r="AD31" s="1027"/>
      <c r="AE31" s="1008"/>
      <c r="AF31" s="1027"/>
      <c r="AG31" s="1027"/>
      <c r="AH31" s="1027"/>
      <c r="AI31" s="1027"/>
      <c r="AJ31" s="1009"/>
      <c r="AK31" s="1008"/>
      <c r="AL31" s="1008"/>
      <c r="AM31" s="1008"/>
      <c r="AN31" s="1008"/>
      <c r="AO31" s="1008"/>
      <c r="AP31" s="1008"/>
      <c r="AQ31" s="1008" t="s">
        <v>8</v>
      </c>
      <c r="AR31" s="1008"/>
      <c r="AS31" s="1008"/>
      <c r="AT31" s="1008"/>
      <c r="AU31" s="1008"/>
      <c r="AV31" s="1008"/>
      <c r="AW31" s="1008"/>
      <c r="AX31" s="1008"/>
      <c r="AY31" s="1008"/>
      <c r="AZ31" s="1009" t="s">
        <v>8</v>
      </c>
      <c r="BA31" s="1009"/>
      <c r="BB31" s="1009"/>
      <c r="BC31" s="1009"/>
      <c r="BD31" s="1009"/>
      <c r="BE31" s="1009"/>
      <c r="BF31" s="1010"/>
    </row>
    <row r="32" spans="1:58" s="29" customFormat="1" ht="18" customHeight="1" x14ac:dyDescent="0.2">
      <c r="A32" s="971" t="s">
        <v>131</v>
      </c>
      <c r="B32" s="1005">
        <f t="shared" si="13"/>
        <v>1</v>
      </c>
      <c r="C32" s="1006"/>
      <c r="D32" s="1008"/>
      <c r="E32" s="1008"/>
      <c r="F32" s="1008"/>
      <c r="G32" s="1009"/>
      <c r="H32" s="1008"/>
      <c r="I32" s="1008"/>
      <c r="J32" s="1008"/>
      <c r="K32" s="1008"/>
      <c r="L32" s="1008"/>
      <c r="M32" s="1008"/>
      <c r="N32" s="1008"/>
      <c r="O32" s="1008"/>
      <c r="P32" s="1008"/>
      <c r="Q32" s="1008"/>
      <c r="R32" s="1008"/>
      <c r="S32" s="1008"/>
      <c r="T32" s="1008"/>
      <c r="U32" s="1008"/>
      <c r="V32" s="1008"/>
      <c r="W32" s="1008"/>
      <c r="X32" s="1008"/>
      <c r="Y32" s="1008"/>
      <c r="Z32" s="1008"/>
      <c r="AA32" s="1008"/>
      <c r="AB32" s="1008"/>
      <c r="AC32" s="1008"/>
      <c r="AD32" s="1027"/>
      <c r="AE32" s="1008"/>
      <c r="AF32" s="1027"/>
      <c r="AG32" s="1027"/>
      <c r="AH32" s="1027"/>
      <c r="AI32" s="1027"/>
      <c r="AJ32" s="1009"/>
      <c r="AK32" s="1008"/>
      <c r="AL32" s="1008"/>
      <c r="AM32" s="1008"/>
      <c r="AN32" s="1008" t="s">
        <v>8</v>
      </c>
      <c r="AO32" s="1008"/>
      <c r="AP32" s="1008"/>
      <c r="AQ32" s="1008"/>
      <c r="AR32" s="1008"/>
      <c r="AS32" s="1008"/>
      <c r="AT32" s="1008"/>
      <c r="AU32" s="1008"/>
      <c r="AV32" s="1008"/>
      <c r="AW32" s="1008"/>
      <c r="AX32" s="1008"/>
      <c r="AY32" s="1008"/>
      <c r="AZ32" s="1009"/>
      <c r="BA32" s="1009"/>
      <c r="BB32" s="1009"/>
      <c r="BC32" s="1009"/>
      <c r="BD32" s="1009"/>
      <c r="BE32" s="1009"/>
      <c r="BF32" s="1010"/>
    </row>
    <row r="33" spans="1:58" s="29" customFormat="1" ht="18" customHeight="1" x14ac:dyDescent="0.2">
      <c r="A33" s="971" t="s">
        <v>252</v>
      </c>
      <c r="B33" s="1005">
        <f t="shared" si="13"/>
        <v>0</v>
      </c>
      <c r="C33" s="1006"/>
      <c r="D33" s="1008"/>
      <c r="E33" s="1008"/>
      <c r="F33" s="1008"/>
      <c r="G33" s="1009"/>
      <c r="H33" s="1008"/>
      <c r="I33" s="1008"/>
      <c r="J33" s="1008"/>
      <c r="K33" s="1008"/>
      <c r="L33" s="1008"/>
      <c r="M33" s="1008"/>
      <c r="N33" s="1008"/>
      <c r="O33" s="1008"/>
      <c r="P33" s="1008"/>
      <c r="Q33" s="1008"/>
      <c r="R33" s="1008"/>
      <c r="S33" s="1008"/>
      <c r="T33" s="1008"/>
      <c r="U33" s="1008"/>
      <c r="V33" s="1008"/>
      <c r="W33" s="1008"/>
      <c r="X33" s="1008"/>
      <c r="Y33" s="1008"/>
      <c r="Z33" s="1008"/>
      <c r="AA33" s="1008"/>
      <c r="AB33" s="1008"/>
      <c r="AC33" s="1008"/>
      <c r="AD33" s="1027"/>
      <c r="AE33" s="1008"/>
      <c r="AF33" s="1027"/>
      <c r="AG33" s="1027"/>
      <c r="AH33" s="1027"/>
      <c r="AI33" s="1027"/>
      <c r="AJ33" s="1009"/>
      <c r="AK33" s="1008"/>
      <c r="AL33" s="1008"/>
      <c r="AM33" s="1008"/>
      <c r="AN33" s="1008"/>
      <c r="AO33" s="1008"/>
      <c r="AP33" s="1008"/>
      <c r="AQ33" s="1008"/>
      <c r="AR33" s="1008"/>
      <c r="AS33" s="1008"/>
      <c r="AT33" s="1008"/>
      <c r="AU33" s="1008"/>
      <c r="AV33" s="1008"/>
      <c r="AW33" s="1008"/>
      <c r="AX33" s="1008"/>
      <c r="AY33" s="1008"/>
      <c r="AZ33" s="1009"/>
      <c r="BA33" s="1009"/>
      <c r="BB33" s="1009"/>
      <c r="BC33" s="1009"/>
      <c r="BD33" s="1009"/>
      <c r="BE33" s="1009"/>
      <c r="BF33" s="1010"/>
    </row>
    <row r="34" spans="1:58" s="29" customFormat="1" ht="18" customHeight="1" x14ac:dyDescent="0.2">
      <c r="A34" s="971" t="s">
        <v>266</v>
      </c>
      <c r="B34" s="1005">
        <f t="shared" si="13"/>
        <v>0</v>
      </c>
      <c r="C34" s="1006"/>
      <c r="D34" s="1008"/>
      <c r="E34" s="1008"/>
      <c r="F34" s="1008"/>
      <c r="G34" s="1009"/>
      <c r="H34" s="1008"/>
      <c r="I34" s="1008"/>
      <c r="J34" s="1008"/>
      <c r="K34" s="1008"/>
      <c r="L34" s="1008"/>
      <c r="M34" s="1008"/>
      <c r="N34" s="1008"/>
      <c r="O34" s="1008"/>
      <c r="P34" s="1008"/>
      <c r="Q34" s="1008"/>
      <c r="R34" s="1008"/>
      <c r="S34" s="1008"/>
      <c r="T34" s="1008"/>
      <c r="U34" s="1008"/>
      <c r="V34" s="1008"/>
      <c r="W34" s="1008"/>
      <c r="X34" s="1008"/>
      <c r="Y34" s="1008"/>
      <c r="Z34" s="1008"/>
      <c r="AA34" s="1008"/>
      <c r="AB34" s="1008"/>
      <c r="AC34" s="1008"/>
      <c r="AD34" s="1027"/>
      <c r="AE34" s="1008"/>
      <c r="AF34" s="1027"/>
      <c r="AG34" s="1027"/>
      <c r="AH34" s="1027"/>
      <c r="AI34" s="1027"/>
      <c r="AJ34" s="1009"/>
      <c r="AK34" s="1008"/>
      <c r="AL34" s="1008"/>
      <c r="AM34" s="1008"/>
      <c r="AN34" s="1008"/>
      <c r="AO34" s="1008"/>
      <c r="AP34" s="1008"/>
      <c r="AQ34" s="1008"/>
      <c r="AR34" s="1008"/>
      <c r="AS34" s="1008"/>
      <c r="AT34" s="1008"/>
      <c r="AU34" s="1008"/>
      <c r="AV34" s="1008"/>
      <c r="AW34" s="1008"/>
      <c r="AX34" s="1008"/>
      <c r="AY34" s="1008"/>
      <c r="AZ34" s="1009"/>
      <c r="BA34" s="1009"/>
      <c r="BB34" s="1009"/>
      <c r="BC34" s="1009"/>
      <c r="BD34" s="1009"/>
      <c r="BE34" s="1009"/>
      <c r="BF34" s="1010"/>
    </row>
    <row r="35" spans="1:58" s="29" customFormat="1" ht="18" customHeight="1" x14ac:dyDescent="0.2">
      <c r="A35" s="971" t="s">
        <v>267</v>
      </c>
      <c r="B35" s="1005">
        <f t="shared" ref="B35:B52" si="14">COUNTIF(C35:BF35,"y")</f>
        <v>5</v>
      </c>
      <c r="C35" s="1006"/>
      <c r="D35" s="1008"/>
      <c r="E35" s="1008"/>
      <c r="F35" s="1008"/>
      <c r="G35" s="1009"/>
      <c r="H35" s="1008"/>
      <c r="I35" s="1008"/>
      <c r="J35" s="1008"/>
      <c r="K35" s="1008"/>
      <c r="L35" s="1008"/>
      <c r="M35" s="1008" t="s">
        <v>8</v>
      </c>
      <c r="N35" s="1008" t="s">
        <v>8</v>
      </c>
      <c r="O35" s="1008"/>
      <c r="P35" s="1008"/>
      <c r="Q35" s="1008" t="s">
        <v>8</v>
      </c>
      <c r="R35" s="1008"/>
      <c r="S35" s="1008"/>
      <c r="T35" s="1008"/>
      <c r="U35" s="1008"/>
      <c r="V35" s="1008"/>
      <c r="W35" s="1008"/>
      <c r="X35" s="1008"/>
      <c r="Y35" s="1008"/>
      <c r="Z35" s="1008"/>
      <c r="AA35" s="1008" t="s">
        <v>8</v>
      </c>
      <c r="AB35" s="1008" t="s">
        <v>8</v>
      </c>
      <c r="AC35" s="1008"/>
      <c r="AD35" s="1027"/>
      <c r="AE35" s="1008"/>
      <c r="AF35" s="1027"/>
      <c r="AG35" s="1027"/>
      <c r="AH35" s="1027"/>
      <c r="AI35" s="1027"/>
      <c r="AJ35" s="1009"/>
      <c r="AK35" s="1008"/>
      <c r="AL35" s="1008"/>
      <c r="AM35" s="1008"/>
      <c r="AN35" s="1008"/>
      <c r="AO35" s="1008"/>
      <c r="AP35" s="1008"/>
      <c r="AQ35" s="1008"/>
      <c r="AR35" s="1008"/>
      <c r="AS35" s="1008"/>
      <c r="AT35" s="1008"/>
      <c r="AU35" s="1008"/>
      <c r="AV35" s="1008"/>
      <c r="AW35" s="1008"/>
      <c r="AX35" s="1008"/>
      <c r="AY35" s="1008"/>
      <c r="AZ35" s="1009"/>
      <c r="BA35" s="1009"/>
      <c r="BB35" s="1009"/>
      <c r="BC35" s="1009"/>
      <c r="BD35" s="1009"/>
      <c r="BE35" s="1009"/>
      <c r="BF35" s="1010"/>
    </row>
    <row r="36" spans="1:58" s="29" customFormat="1" ht="18" customHeight="1" x14ac:dyDescent="0.2">
      <c r="A36" s="971" t="s">
        <v>263</v>
      </c>
      <c r="B36" s="1005">
        <f t="shared" si="14"/>
        <v>1</v>
      </c>
      <c r="C36" s="1006"/>
      <c r="D36" s="1008"/>
      <c r="E36" s="1008"/>
      <c r="F36" s="1008"/>
      <c r="G36" s="1009"/>
      <c r="H36" s="1008"/>
      <c r="I36" s="1008"/>
      <c r="J36" s="1008"/>
      <c r="K36" s="1008"/>
      <c r="L36" s="1008"/>
      <c r="M36" s="1008"/>
      <c r="N36" s="1008"/>
      <c r="O36" s="1008"/>
      <c r="P36" s="1008"/>
      <c r="Q36" s="1008"/>
      <c r="R36" s="1008"/>
      <c r="S36" s="1008"/>
      <c r="T36" s="1008"/>
      <c r="U36" s="1008"/>
      <c r="V36" s="1008"/>
      <c r="W36" s="1008"/>
      <c r="X36" s="1008"/>
      <c r="Y36" s="1008"/>
      <c r="Z36" s="1008"/>
      <c r="AA36" s="1008"/>
      <c r="AB36" s="1008"/>
      <c r="AC36" s="1008"/>
      <c r="AD36" s="1027"/>
      <c r="AE36" s="1008"/>
      <c r="AF36" s="1027"/>
      <c r="AG36" s="1027"/>
      <c r="AH36" s="1027"/>
      <c r="AI36" s="1027"/>
      <c r="AJ36" s="1009"/>
      <c r="AK36" s="1008"/>
      <c r="AL36" s="1008"/>
      <c r="AM36" s="1008"/>
      <c r="AN36" s="1008" t="s">
        <v>8</v>
      </c>
      <c r="AO36" s="1008"/>
      <c r="AP36" s="1008"/>
      <c r="AQ36" s="1008"/>
      <c r="AR36" s="1008"/>
      <c r="AS36" s="1008"/>
      <c r="AT36" s="1008"/>
      <c r="AU36" s="1008"/>
      <c r="AV36" s="1008"/>
      <c r="AW36" s="1008"/>
      <c r="AX36" s="1008"/>
      <c r="AY36" s="1008"/>
      <c r="AZ36" s="1009"/>
      <c r="BA36" s="1009"/>
      <c r="BB36" s="1009"/>
      <c r="BC36" s="1009"/>
      <c r="BD36" s="1009"/>
      <c r="BE36" s="1009"/>
      <c r="BF36" s="1010"/>
    </row>
    <row r="37" spans="1:58" s="29" customFormat="1" ht="18" customHeight="1" x14ac:dyDescent="0.2">
      <c r="A37" s="971" t="s">
        <v>90</v>
      </c>
      <c r="B37" s="1005">
        <f t="shared" si="14"/>
        <v>5</v>
      </c>
      <c r="C37" s="1006" t="s">
        <v>8</v>
      </c>
      <c r="D37" s="1008" t="s">
        <v>8</v>
      </c>
      <c r="E37" s="1008" t="s">
        <v>8</v>
      </c>
      <c r="F37" s="1008" t="s">
        <v>8</v>
      </c>
      <c r="G37" s="1009"/>
      <c r="H37" s="1008"/>
      <c r="I37" s="1008"/>
      <c r="J37" s="1008"/>
      <c r="K37" s="1008"/>
      <c r="L37" s="1008"/>
      <c r="M37" s="1008" t="s">
        <v>8</v>
      </c>
      <c r="N37" s="1008"/>
      <c r="O37" s="1008"/>
      <c r="P37" s="1008"/>
      <c r="Q37" s="1008"/>
      <c r="R37" s="1008"/>
      <c r="S37" s="1008"/>
      <c r="T37" s="1008"/>
      <c r="U37" s="1008"/>
      <c r="V37" s="1008"/>
      <c r="W37" s="1008"/>
      <c r="X37" s="1008"/>
      <c r="Y37" s="1008"/>
      <c r="Z37" s="1008"/>
      <c r="AA37" s="1008"/>
      <c r="AB37" s="1008"/>
      <c r="AC37" s="1008"/>
      <c r="AD37" s="1027"/>
      <c r="AE37" s="1008"/>
      <c r="AF37" s="1027"/>
      <c r="AG37" s="1027"/>
      <c r="AH37" s="1027"/>
      <c r="AI37" s="1027"/>
      <c r="AJ37" s="1009"/>
      <c r="AK37" s="1008"/>
      <c r="AL37" s="1008"/>
      <c r="AM37" s="1008"/>
      <c r="AN37" s="1008"/>
      <c r="AO37" s="1008"/>
      <c r="AP37" s="1008"/>
      <c r="AQ37" s="1008"/>
      <c r="AR37" s="1008"/>
      <c r="AS37" s="1008"/>
      <c r="AT37" s="1008"/>
      <c r="AU37" s="1008"/>
      <c r="AV37" s="1008"/>
      <c r="AW37" s="1008"/>
      <c r="AX37" s="1008"/>
      <c r="AY37" s="1008"/>
      <c r="AZ37" s="1009"/>
      <c r="BA37" s="1009"/>
      <c r="BB37" s="1009"/>
      <c r="BC37" s="1009"/>
      <c r="BD37" s="1009"/>
      <c r="BE37" s="1009"/>
      <c r="BF37" s="1010"/>
    </row>
    <row r="38" spans="1:58" s="29" customFormat="1" ht="18" customHeight="1" x14ac:dyDescent="0.2">
      <c r="A38" s="971" t="s">
        <v>91</v>
      </c>
      <c r="B38" s="1005">
        <f t="shared" si="14"/>
        <v>5</v>
      </c>
      <c r="C38" s="1006"/>
      <c r="D38" s="1008"/>
      <c r="E38" s="1008"/>
      <c r="F38" s="1008"/>
      <c r="G38" s="1009"/>
      <c r="H38" s="1008"/>
      <c r="I38" s="1008"/>
      <c r="J38" s="1008"/>
      <c r="K38" s="1008"/>
      <c r="L38" s="1008"/>
      <c r="M38" s="1008" t="s">
        <v>8</v>
      </c>
      <c r="N38" s="1008"/>
      <c r="O38" s="1008"/>
      <c r="P38" s="1008"/>
      <c r="Q38" s="1008"/>
      <c r="R38" s="1008"/>
      <c r="S38" s="1008"/>
      <c r="T38" s="1008"/>
      <c r="U38" s="1008"/>
      <c r="V38" s="1008"/>
      <c r="W38" s="1008" t="s">
        <v>8</v>
      </c>
      <c r="X38" s="1008"/>
      <c r="Y38" s="1008"/>
      <c r="Z38" s="1008"/>
      <c r="AA38" s="1008"/>
      <c r="AB38" s="1008"/>
      <c r="AC38" s="1008"/>
      <c r="AD38" s="1027"/>
      <c r="AE38" s="1008"/>
      <c r="AF38" s="1027"/>
      <c r="AG38" s="1027"/>
      <c r="AH38" s="1027"/>
      <c r="AI38" s="1027"/>
      <c r="AJ38" s="1009"/>
      <c r="AK38" s="1008" t="s">
        <v>8</v>
      </c>
      <c r="AL38" s="1008"/>
      <c r="AM38" s="1008"/>
      <c r="AN38" s="1008"/>
      <c r="AO38" s="1008"/>
      <c r="AP38" s="1008"/>
      <c r="AQ38" s="1008"/>
      <c r="AR38" s="1008"/>
      <c r="AS38" s="1008"/>
      <c r="AT38" s="1008"/>
      <c r="AU38" s="1008" t="s">
        <v>8</v>
      </c>
      <c r="AV38" s="1008"/>
      <c r="AW38" s="1008"/>
      <c r="AX38" s="1008"/>
      <c r="AY38" s="1008" t="s">
        <v>8</v>
      </c>
      <c r="AZ38" s="1009"/>
      <c r="BA38" s="1009"/>
      <c r="BB38" s="1009"/>
      <c r="BC38" s="1009"/>
      <c r="BD38" s="1009"/>
      <c r="BE38" s="1009"/>
      <c r="BF38" s="1010"/>
    </row>
    <row r="39" spans="1:58" s="29" customFormat="1" ht="18" customHeight="1" x14ac:dyDescent="0.2">
      <c r="A39" s="971" t="s">
        <v>44</v>
      </c>
      <c r="B39" s="1005">
        <f t="shared" si="14"/>
        <v>3</v>
      </c>
      <c r="C39" s="1006"/>
      <c r="D39" s="1008"/>
      <c r="E39" s="1008"/>
      <c r="F39" s="1008"/>
      <c r="G39" s="1009"/>
      <c r="H39" s="1008"/>
      <c r="I39" s="1008"/>
      <c r="J39" s="1008"/>
      <c r="K39" s="1008" t="s">
        <v>8</v>
      </c>
      <c r="L39" s="1008"/>
      <c r="M39" s="1008" t="s">
        <v>8</v>
      </c>
      <c r="N39" s="1008"/>
      <c r="O39" s="1008"/>
      <c r="P39" s="1008"/>
      <c r="Q39" s="1008"/>
      <c r="R39" s="1008"/>
      <c r="S39" s="1008"/>
      <c r="T39" s="1008"/>
      <c r="U39" s="1008"/>
      <c r="V39" s="1008"/>
      <c r="W39" s="1008"/>
      <c r="X39" s="1008"/>
      <c r="Y39" s="1008"/>
      <c r="Z39" s="1008"/>
      <c r="AA39" s="1008"/>
      <c r="AB39" s="1008"/>
      <c r="AC39" s="1008"/>
      <c r="AD39" s="1027"/>
      <c r="AE39" s="1008"/>
      <c r="AF39" s="1027"/>
      <c r="AG39" s="1027"/>
      <c r="AH39" s="1027"/>
      <c r="AI39" s="1027"/>
      <c r="AJ39" s="1009"/>
      <c r="AK39" s="1008"/>
      <c r="AL39" s="1008"/>
      <c r="AM39" s="1008"/>
      <c r="AN39" s="1008" t="s">
        <v>8</v>
      </c>
      <c r="AO39" s="1008"/>
      <c r="AP39" s="1008"/>
      <c r="AQ39" s="1008"/>
      <c r="AR39" s="1008"/>
      <c r="AS39" s="1008"/>
      <c r="AT39" s="1008"/>
      <c r="AU39" s="1008"/>
      <c r="AV39" s="1008"/>
      <c r="AW39" s="1008"/>
      <c r="AX39" s="1008"/>
      <c r="AY39" s="1008"/>
      <c r="AZ39" s="1009"/>
      <c r="BA39" s="1009"/>
      <c r="BB39" s="1009"/>
      <c r="BC39" s="1009"/>
      <c r="BD39" s="1009"/>
      <c r="BE39" s="1009"/>
      <c r="BF39" s="1010"/>
    </row>
    <row r="40" spans="1:58" s="29" customFormat="1" ht="18" customHeight="1" x14ac:dyDescent="0.2">
      <c r="A40" s="971" t="s">
        <v>94</v>
      </c>
      <c r="B40" s="1005">
        <f t="shared" si="14"/>
        <v>9</v>
      </c>
      <c r="C40" s="1006"/>
      <c r="D40" s="1008"/>
      <c r="E40" s="1008"/>
      <c r="F40" s="1008"/>
      <c r="G40" s="1009"/>
      <c r="H40" s="1008"/>
      <c r="I40" s="1008"/>
      <c r="J40" s="1008"/>
      <c r="K40" s="1008"/>
      <c r="L40" s="1008"/>
      <c r="M40" s="1008" t="s">
        <v>8</v>
      </c>
      <c r="N40" s="1008" t="s">
        <v>8</v>
      </c>
      <c r="O40" s="1008" t="s">
        <v>8</v>
      </c>
      <c r="P40" s="1008"/>
      <c r="Q40" s="1008"/>
      <c r="R40" s="1008"/>
      <c r="S40" s="1008"/>
      <c r="T40" s="1008"/>
      <c r="U40" s="1008"/>
      <c r="V40" s="1008"/>
      <c r="W40" s="1008"/>
      <c r="X40" s="1008"/>
      <c r="Y40" s="1008"/>
      <c r="Z40" s="1008"/>
      <c r="AA40" s="1008"/>
      <c r="AB40" s="1008"/>
      <c r="AC40" s="1008"/>
      <c r="AD40" s="1027"/>
      <c r="AE40" s="1008"/>
      <c r="AF40" s="1027"/>
      <c r="AG40" s="1027"/>
      <c r="AH40" s="1027"/>
      <c r="AI40" s="1027"/>
      <c r="AJ40" s="1009"/>
      <c r="AK40" s="1008" t="s">
        <v>8</v>
      </c>
      <c r="AL40" s="1008"/>
      <c r="AM40" s="1008" t="s">
        <v>8</v>
      </c>
      <c r="AN40" s="1008"/>
      <c r="AO40" s="1008"/>
      <c r="AP40" s="1008"/>
      <c r="AQ40" s="1008"/>
      <c r="AR40" s="1008"/>
      <c r="AS40" s="1008" t="s">
        <v>8</v>
      </c>
      <c r="AT40" s="1008"/>
      <c r="AU40" s="1008"/>
      <c r="AV40" s="1008"/>
      <c r="AW40" s="1008"/>
      <c r="AX40" s="1008"/>
      <c r="AY40" s="1008"/>
      <c r="AZ40" s="1009"/>
      <c r="BA40" s="1009"/>
      <c r="BB40" s="1009"/>
      <c r="BC40" s="1009" t="s">
        <v>8</v>
      </c>
      <c r="BD40" s="1009" t="s">
        <v>8</v>
      </c>
      <c r="BE40" s="1009" t="s">
        <v>8</v>
      </c>
      <c r="BF40" s="1010"/>
    </row>
    <row r="41" spans="1:58" s="29" customFormat="1" ht="18" customHeight="1" x14ac:dyDescent="0.2">
      <c r="A41" s="971" t="s">
        <v>96</v>
      </c>
      <c r="B41" s="1005">
        <f t="shared" si="14"/>
        <v>4</v>
      </c>
      <c r="C41" s="1006"/>
      <c r="D41" s="1008"/>
      <c r="E41" s="1008"/>
      <c r="F41" s="1008"/>
      <c r="G41" s="1009"/>
      <c r="H41" s="1008"/>
      <c r="I41" s="1008"/>
      <c r="J41" s="1008"/>
      <c r="K41" s="1008"/>
      <c r="L41" s="1008"/>
      <c r="M41" s="1008" t="s">
        <v>8</v>
      </c>
      <c r="N41" s="1008" t="s">
        <v>8</v>
      </c>
      <c r="O41" s="1008"/>
      <c r="P41" s="1008"/>
      <c r="Q41" s="1008"/>
      <c r="R41" s="1008"/>
      <c r="S41" s="1008"/>
      <c r="T41" s="1008"/>
      <c r="U41" s="1008" t="s">
        <v>8</v>
      </c>
      <c r="V41" s="1008"/>
      <c r="W41" s="1008"/>
      <c r="X41" s="1008"/>
      <c r="Y41" s="1008"/>
      <c r="Z41" s="1008"/>
      <c r="AA41" s="1008"/>
      <c r="AB41" s="1008"/>
      <c r="AC41" s="1008" t="s">
        <v>8</v>
      </c>
      <c r="AD41" s="1027"/>
      <c r="AE41" s="1008"/>
      <c r="AF41" s="1027"/>
      <c r="AG41" s="1027"/>
      <c r="AH41" s="1027"/>
      <c r="AI41" s="1027"/>
      <c r="AJ41" s="1009"/>
      <c r="AK41" s="1008"/>
      <c r="AL41" s="1008"/>
      <c r="AM41" s="1008"/>
      <c r="AN41" s="1008"/>
      <c r="AO41" s="1008"/>
      <c r="AP41" s="1008"/>
      <c r="AQ41" s="1008"/>
      <c r="AR41" s="1008"/>
      <c r="AS41" s="1008"/>
      <c r="AT41" s="1008"/>
      <c r="AU41" s="1008"/>
      <c r="AV41" s="1008"/>
      <c r="AW41" s="1008"/>
      <c r="AX41" s="1008"/>
      <c r="AY41" s="1008"/>
      <c r="AZ41" s="1009"/>
      <c r="BA41" s="1009"/>
      <c r="BB41" s="1009"/>
      <c r="BC41" s="1009"/>
      <c r="BD41" s="1009"/>
      <c r="BE41" s="1009"/>
      <c r="BF41" s="1010"/>
    </row>
    <row r="42" spans="1:58" s="29" customFormat="1" ht="18" customHeight="1" x14ac:dyDescent="0.2">
      <c r="A42" s="971" t="s">
        <v>97</v>
      </c>
      <c r="B42" s="1005">
        <f t="shared" si="14"/>
        <v>0</v>
      </c>
      <c r="C42" s="1006"/>
      <c r="D42" s="1008"/>
      <c r="E42" s="1008"/>
      <c r="F42" s="1008"/>
      <c r="G42" s="1009"/>
      <c r="H42" s="1008"/>
      <c r="I42" s="1008"/>
      <c r="J42" s="1008"/>
      <c r="K42" s="1008"/>
      <c r="L42" s="1008"/>
      <c r="M42" s="1008"/>
      <c r="N42" s="1008"/>
      <c r="O42" s="1008"/>
      <c r="P42" s="1008"/>
      <c r="Q42" s="1008"/>
      <c r="R42" s="1008"/>
      <c r="S42" s="1008"/>
      <c r="T42" s="1008"/>
      <c r="U42" s="1008"/>
      <c r="V42" s="1008"/>
      <c r="W42" s="1008"/>
      <c r="X42" s="1008"/>
      <c r="Y42" s="1008"/>
      <c r="Z42" s="1008"/>
      <c r="AA42" s="1008"/>
      <c r="AB42" s="1008"/>
      <c r="AC42" s="1008"/>
      <c r="AD42" s="1027"/>
      <c r="AE42" s="1008"/>
      <c r="AF42" s="1027"/>
      <c r="AG42" s="1027"/>
      <c r="AH42" s="1027"/>
      <c r="AI42" s="1027"/>
      <c r="AJ42" s="1009"/>
      <c r="AK42" s="1008"/>
      <c r="AL42" s="1008"/>
      <c r="AM42" s="1008"/>
      <c r="AN42" s="1008"/>
      <c r="AO42" s="1008"/>
      <c r="AP42" s="1008"/>
      <c r="AQ42" s="1008"/>
      <c r="AR42" s="1008"/>
      <c r="AS42" s="1008"/>
      <c r="AT42" s="1008"/>
      <c r="AU42" s="1008"/>
      <c r="AV42" s="1008"/>
      <c r="AW42" s="1008"/>
      <c r="AX42" s="1008"/>
      <c r="AY42" s="1008"/>
      <c r="AZ42" s="1009"/>
      <c r="BA42" s="1009"/>
      <c r="BB42" s="1009"/>
      <c r="BC42" s="1009"/>
      <c r="BD42" s="1009"/>
      <c r="BE42" s="1009"/>
      <c r="BF42" s="1010"/>
    </row>
    <row r="43" spans="1:58" ht="18" customHeight="1" x14ac:dyDescent="0.2">
      <c r="A43" s="971" t="s">
        <v>46</v>
      </c>
      <c r="B43" s="1005">
        <f t="shared" si="14"/>
        <v>6</v>
      </c>
      <c r="C43" s="1006"/>
      <c r="D43" s="1008"/>
      <c r="E43" s="1008"/>
      <c r="F43" s="1008"/>
      <c r="G43" s="1009"/>
      <c r="H43" s="1008"/>
      <c r="I43" s="1008"/>
      <c r="J43" s="1008"/>
      <c r="K43" s="1008"/>
      <c r="L43" s="1008"/>
      <c r="M43" s="1008" t="s">
        <v>8</v>
      </c>
      <c r="N43" s="1008" t="s">
        <v>8</v>
      </c>
      <c r="O43" s="1008"/>
      <c r="P43" s="1008"/>
      <c r="Q43" s="1008"/>
      <c r="R43" s="1008"/>
      <c r="S43" s="1008" t="s">
        <v>8</v>
      </c>
      <c r="T43" s="1008"/>
      <c r="U43" s="1008"/>
      <c r="V43" s="1008"/>
      <c r="W43" s="1008"/>
      <c r="X43" s="1008"/>
      <c r="Y43" s="1008"/>
      <c r="Z43" s="1008"/>
      <c r="AA43" s="1008"/>
      <c r="AB43" s="1008"/>
      <c r="AC43" s="1008"/>
      <c r="AD43" s="1027"/>
      <c r="AE43" s="1008"/>
      <c r="AF43" s="1027"/>
      <c r="AG43" s="1027"/>
      <c r="AH43" s="1027"/>
      <c r="AI43" s="1027"/>
      <c r="AJ43" s="1009" t="s">
        <v>8</v>
      </c>
      <c r="AK43" s="1008"/>
      <c r="AL43" s="1008" t="s">
        <v>8</v>
      </c>
      <c r="AM43" s="1008"/>
      <c r="AN43" s="1008" t="s">
        <v>8</v>
      </c>
      <c r="AO43" s="1008"/>
      <c r="AP43" s="1008"/>
      <c r="AQ43" s="1008"/>
      <c r="AR43" s="1008"/>
      <c r="AS43" s="1008"/>
      <c r="AT43" s="1008"/>
      <c r="AU43" s="1008"/>
      <c r="AV43" s="1008"/>
      <c r="AW43" s="1008"/>
      <c r="AX43" s="1008"/>
      <c r="AY43" s="1008"/>
      <c r="AZ43" s="1009"/>
      <c r="BA43" s="1009"/>
      <c r="BB43" s="1009"/>
      <c r="BC43" s="1009"/>
      <c r="BD43" s="1009"/>
      <c r="BE43" s="1009"/>
      <c r="BF43" s="1010"/>
    </row>
    <row r="44" spans="1:58" ht="18" customHeight="1" x14ac:dyDescent="0.2">
      <c r="A44" s="972" t="s">
        <v>47</v>
      </c>
      <c r="B44" s="1005">
        <f t="shared" si="14"/>
        <v>4</v>
      </c>
      <c r="C44" s="1006"/>
      <c r="D44" s="1008"/>
      <c r="E44" s="1008"/>
      <c r="F44" s="1008"/>
      <c r="G44" s="1009"/>
      <c r="H44" s="1008"/>
      <c r="I44" s="1008"/>
      <c r="J44" s="1008"/>
      <c r="K44" s="1008"/>
      <c r="L44" s="1008"/>
      <c r="M44" s="1008" t="s">
        <v>8</v>
      </c>
      <c r="N44" s="1008"/>
      <c r="O44" s="1008"/>
      <c r="P44" s="1008"/>
      <c r="Q44" s="1008"/>
      <c r="R44" s="1008"/>
      <c r="S44" s="1008"/>
      <c r="T44" s="1008"/>
      <c r="U44" s="1008"/>
      <c r="V44" s="1008"/>
      <c r="W44" s="1008"/>
      <c r="X44" s="1008"/>
      <c r="Y44" s="1008"/>
      <c r="Z44" s="1008"/>
      <c r="AA44" s="1008"/>
      <c r="AB44" s="1008"/>
      <c r="AC44" s="1008"/>
      <c r="AD44" s="1027"/>
      <c r="AE44" s="1008"/>
      <c r="AF44" s="1027"/>
      <c r="AG44" s="1027"/>
      <c r="AH44" s="1027"/>
      <c r="AI44" s="1027"/>
      <c r="AJ44" s="1009"/>
      <c r="AK44" s="1008"/>
      <c r="AL44" s="1008"/>
      <c r="AM44" s="1008"/>
      <c r="AN44" s="1008" t="s">
        <v>8</v>
      </c>
      <c r="AO44" s="1008"/>
      <c r="AP44" s="1008"/>
      <c r="AQ44" s="1008"/>
      <c r="AR44" s="1008"/>
      <c r="AS44" s="1008"/>
      <c r="AT44" s="1008"/>
      <c r="AU44" s="1008"/>
      <c r="AV44" s="1008"/>
      <c r="AW44" s="1008"/>
      <c r="AX44" s="1008"/>
      <c r="AY44" s="1008"/>
      <c r="AZ44" s="1009"/>
      <c r="BA44" s="1009" t="s">
        <v>8</v>
      </c>
      <c r="BB44" s="1009"/>
      <c r="BC44" s="1009"/>
      <c r="BD44" s="1009"/>
      <c r="BE44" s="1009"/>
      <c r="BF44" s="1010" t="s">
        <v>8</v>
      </c>
    </row>
    <row r="45" spans="1:58" s="64" customFormat="1" ht="18" customHeight="1" x14ac:dyDescent="0.2">
      <c r="A45" s="1025" t="s">
        <v>101</v>
      </c>
      <c r="B45" s="1011">
        <f t="shared" si="14"/>
        <v>0</v>
      </c>
      <c r="C45" s="1006"/>
      <c r="D45" s="1008"/>
      <c r="E45" s="1008"/>
      <c r="F45" s="1008"/>
      <c r="G45" s="1009"/>
      <c r="H45" s="1008"/>
      <c r="I45" s="1008"/>
      <c r="J45" s="1008"/>
      <c r="K45" s="1008"/>
      <c r="L45" s="1008"/>
      <c r="M45" s="1008"/>
      <c r="N45" s="1008"/>
      <c r="O45" s="1008"/>
      <c r="P45" s="1008"/>
      <c r="Q45" s="1008"/>
      <c r="R45" s="1008"/>
      <c r="S45" s="1008"/>
      <c r="T45" s="1008"/>
      <c r="U45" s="1008"/>
      <c r="V45" s="1008"/>
      <c r="W45" s="1008"/>
      <c r="X45" s="1008"/>
      <c r="Y45" s="1008"/>
      <c r="Z45" s="1008"/>
      <c r="AA45" s="1008"/>
      <c r="AB45" s="1008"/>
      <c r="AC45" s="1008"/>
      <c r="AD45" s="1027"/>
      <c r="AE45" s="1008"/>
      <c r="AF45" s="1027"/>
      <c r="AG45" s="1027"/>
      <c r="AH45" s="1027"/>
      <c r="AI45" s="1027"/>
      <c r="AJ45" s="1009"/>
      <c r="AK45" s="1008"/>
      <c r="AL45" s="1008"/>
      <c r="AM45" s="1008"/>
      <c r="AN45" s="1008"/>
      <c r="AO45" s="1008"/>
      <c r="AP45" s="1008"/>
      <c r="AQ45" s="1008"/>
      <c r="AR45" s="1008"/>
      <c r="AS45" s="1008"/>
      <c r="AT45" s="1008"/>
      <c r="AU45" s="1008"/>
      <c r="AV45" s="1008"/>
      <c r="AW45" s="1008"/>
      <c r="AX45" s="1008"/>
      <c r="AY45" s="1008"/>
      <c r="AZ45" s="1009"/>
      <c r="BA45" s="1009"/>
      <c r="BB45" s="1009"/>
      <c r="BC45" s="1009"/>
      <c r="BD45" s="1009"/>
      <c r="BE45" s="1009"/>
      <c r="BF45" s="1010"/>
    </row>
    <row r="46" spans="1:58" ht="18" customHeight="1" x14ac:dyDescent="0.2">
      <c r="A46" s="972" t="s">
        <v>102</v>
      </c>
      <c r="B46" s="1005">
        <f t="shared" si="14"/>
        <v>3</v>
      </c>
      <c r="C46" s="1006"/>
      <c r="D46" s="1008"/>
      <c r="E46" s="1008"/>
      <c r="F46" s="1008"/>
      <c r="G46" s="1009"/>
      <c r="H46" s="1008"/>
      <c r="I46" s="1008"/>
      <c r="J46" s="1008"/>
      <c r="K46" s="1008"/>
      <c r="L46" s="1008"/>
      <c r="M46" s="1008" t="s">
        <v>8</v>
      </c>
      <c r="N46" s="1008"/>
      <c r="O46" s="1008"/>
      <c r="P46" s="1008"/>
      <c r="Q46" s="1008"/>
      <c r="R46" s="1008"/>
      <c r="S46" s="1008"/>
      <c r="T46" s="1008"/>
      <c r="U46" s="1008"/>
      <c r="V46" s="1008"/>
      <c r="W46" s="1008"/>
      <c r="X46" s="1008"/>
      <c r="Y46" s="1008"/>
      <c r="Z46" s="1008"/>
      <c r="AA46" s="1008"/>
      <c r="AB46" s="1008"/>
      <c r="AC46" s="1008"/>
      <c r="AD46" s="1027"/>
      <c r="AE46" s="1008"/>
      <c r="AF46" s="1027"/>
      <c r="AG46" s="1027"/>
      <c r="AH46" s="1027"/>
      <c r="AI46" s="1027"/>
      <c r="AJ46" s="1009"/>
      <c r="AK46" s="1008"/>
      <c r="AL46" s="1008"/>
      <c r="AM46" s="1008"/>
      <c r="AN46" s="1008"/>
      <c r="AO46" s="1008"/>
      <c r="AP46" s="1008"/>
      <c r="AQ46" s="1008"/>
      <c r="AR46" s="1008" t="s">
        <v>8</v>
      </c>
      <c r="AS46" s="1008"/>
      <c r="AT46" s="1008"/>
      <c r="AU46" s="1008"/>
      <c r="AV46" s="1008" t="s">
        <v>8</v>
      </c>
      <c r="AW46" s="1008"/>
      <c r="AX46" s="1008"/>
      <c r="AY46" s="1008"/>
      <c r="AZ46" s="1009"/>
      <c r="BA46" s="1009"/>
      <c r="BB46" s="1009"/>
      <c r="BC46" s="1009"/>
      <c r="BD46" s="1009"/>
      <c r="BE46" s="1009"/>
      <c r="BF46" s="1010"/>
    </row>
    <row r="47" spans="1:58" ht="18" customHeight="1" x14ac:dyDescent="0.2">
      <c r="A47" s="972" t="s">
        <v>48</v>
      </c>
      <c r="B47" s="1005">
        <f t="shared" si="14"/>
        <v>0</v>
      </c>
      <c r="C47" s="1006"/>
      <c r="D47" s="1008"/>
      <c r="E47" s="1008"/>
      <c r="F47" s="1008"/>
      <c r="G47" s="1009"/>
      <c r="H47" s="1008"/>
      <c r="I47" s="1008"/>
      <c r="J47" s="1008"/>
      <c r="K47" s="1008"/>
      <c r="L47" s="1008"/>
      <c r="M47" s="1008"/>
      <c r="N47" s="1008"/>
      <c r="O47" s="1008"/>
      <c r="P47" s="1008"/>
      <c r="Q47" s="1008"/>
      <c r="R47" s="1008"/>
      <c r="S47" s="1008"/>
      <c r="T47" s="1008"/>
      <c r="U47" s="1008"/>
      <c r="V47" s="1008"/>
      <c r="W47" s="1008"/>
      <c r="X47" s="1008"/>
      <c r="Y47" s="1008"/>
      <c r="Z47" s="1008"/>
      <c r="AA47" s="1008"/>
      <c r="AB47" s="1008"/>
      <c r="AC47" s="1008"/>
      <c r="AD47" s="1027"/>
      <c r="AE47" s="1008"/>
      <c r="AF47" s="1027"/>
      <c r="AG47" s="1027"/>
      <c r="AH47" s="1027"/>
      <c r="AI47" s="1027"/>
      <c r="AJ47" s="1009"/>
      <c r="AK47" s="1008"/>
      <c r="AL47" s="1008"/>
      <c r="AM47" s="1008"/>
      <c r="AN47" s="1008"/>
      <c r="AO47" s="1008"/>
      <c r="AP47" s="1008"/>
      <c r="AQ47" s="1008"/>
      <c r="AR47" s="1008"/>
      <c r="AS47" s="1008"/>
      <c r="AT47" s="1008"/>
      <c r="AU47" s="1008"/>
      <c r="AV47" s="1008"/>
      <c r="AW47" s="1008"/>
      <c r="AX47" s="1008"/>
      <c r="AY47" s="1008"/>
      <c r="AZ47" s="1009"/>
      <c r="BA47" s="1009"/>
      <c r="BB47" s="1009"/>
      <c r="BC47" s="1009"/>
      <c r="BD47" s="1009"/>
      <c r="BE47" s="1009"/>
      <c r="BF47" s="1010"/>
    </row>
    <row r="48" spans="1:58" s="29" customFormat="1" ht="18" customHeight="1" x14ac:dyDescent="0.2">
      <c r="A48" s="971" t="s">
        <v>207</v>
      </c>
      <c r="B48" s="1005">
        <f t="shared" si="14"/>
        <v>0</v>
      </c>
      <c r="C48" s="1006"/>
      <c r="D48" s="1008"/>
      <c r="E48" s="1008"/>
      <c r="F48" s="1008"/>
      <c r="G48" s="1009"/>
      <c r="H48" s="1008"/>
      <c r="I48" s="1008"/>
      <c r="J48" s="1008"/>
      <c r="K48" s="1008"/>
      <c r="L48" s="1008"/>
      <c r="M48" s="1008"/>
      <c r="N48" s="1008"/>
      <c r="O48" s="1008"/>
      <c r="P48" s="1008"/>
      <c r="Q48" s="1008"/>
      <c r="R48" s="1008"/>
      <c r="S48" s="1008"/>
      <c r="T48" s="1008"/>
      <c r="U48" s="1008"/>
      <c r="V48" s="1008"/>
      <c r="W48" s="1008"/>
      <c r="X48" s="1008"/>
      <c r="Y48" s="1008"/>
      <c r="Z48" s="1008"/>
      <c r="AA48" s="1008"/>
      <c r="AB48" s="1008"/>
      <c r="AC48" s="1008"/>
      <c r="AD48" s="1027"/>
      <c r="AE48" s="1008"/>
      <c r="AF48" s="1027"/>
      <c r="AG48" s="1027"/>
      <c r="AH48" s="1027"/>
      <c r="AI48" s="1027"/>
      <c r="AJ48" s="1009"/>
      <c r="AK48" s="1008"/>
      <c r="AL48" s="1008"/>
      <c r="AM48" s="1008"/>
      <c r="AN48" s="1008"/>
      <c r="AO48" s="1008"/>
      <c r="AP48" s="1008"/>
      <c r="AQ48" s="1008"/>
      <c r="AR48" s="1008"/>
      <c r="AS48" s="1008"/>
      <c r="AT48" s="1008"/>
      <c r="AU48" s="1008"/>
      <c r="AV48" s="1008"/>
      <c r="AW48" s="1008"/>
      <c r="AX48" s="1008"/>
      <c r="AY48" s="1008"/>
      <c r="AZ48" s="1009"/>
      <c r="BA48" s="1009"/>
      <c r="BB48" s="1009"/>
      <c r="BC48" s="1009"/>
      <c r="BD48" s="1009"/>
      <c r="BE48" s="1009"/>
      <c r="BF48" s="1010"/>
    </row>
    <row r="49" spans="1:58" ht="18" customHeight="1" x14ac:dyDescent="0.2">
      <c r="A49" s="972" t="s">
        <v>110</v>
      </c>
      <c r="B49" s="1005">
        <f t="shared" si="14"/>
        <v>5</v>
      </c>
      <c r="C49" s="1006"/>
      <c r="D49" s="1008"/>
      <c r="E49" s="1008"/>
      <c r="F49" s="1008"/>
      <c r="G49" s="1009"/>
      <c r="H49" s="1008" t="s">
        <v>8</v>
      </c>
      <c r="I49" s="1008" t="s">
        <v>8</v>
      </c>
      <c r="J49" s="1008"/>
      <c r="K49" s="1008"/>
      <c r="L49" s="1008"/>
      <c r="M49" s="1008" t="s">
        <v>8</v>
      </c>
      <c r="N49" s="1008" t="s">
        <v>8</v>
      </c>
      <c r="O49" s="1008"/>
      <c r="P49" s="1008"/>
      <c r="Q49" s="1008"/>
      <c r="R49" s="1008"/>
      <c r="S49" s="1008"/>
      <c r="T49" s="1008"/>
      <c r="U49" s="1008"/>
      <c r="V49" s="1008"/>
      <c r="W49" s="1008"/>
      <c r="X49" s="1008"/>
      <c r="Y49" s="1008"/>
      <c r="Z49" s="1008"/>
      <c r="AA49" s="1008"/>
      <c r="AB49" s="1008"/>
      <c r="AC49" s="1008"/>
      <c r="AD49" s="1027"/>
      <c r="AE49" s="1008" t="s">
        <v>8</v>
      </c>
      <c r="AF49" s="1027"/>
      <c r="AG49" s="1027"/>
      <c r="AH49" s="1027"/>
      <c r="AI49" s="1027"/>
      <c r="AJ49" s="1009"/>
      <c r="AK49" s="1008"/>
      <c r="AL49" s="1008"/>
      <c r="AM49" s="1008"/>
      <c r="AN49" s="1008"/>
      <c r="AO49" s="1008"/>
      <c r="AP49" s="1008"/>
      <c r="AQ49" s="1008"/>
      <c r="AR49" s="1008"/>
      <c r="AS49" s="1008"/>
      <c r="AT49" s="1008"/>
      <c r="AU49" s="1008"/>
      <c r="AV49" s="1008"/>
      <c r="AW49" s="1008"/>
      <c r="AX49" s="1008"/>
      <c r="AY49" s="1008"/>
      <c r="AZ49" s="1009"/>
      <c r="BA49" s="1009"/>
      <c r="BB49" s="1009"/>
      <c r="BC49" s="1009"/>
      <c r="BD49" s="1009"/>
      <c r="BE49" s="1009"/>
      <c r="BF49" s="1010"/>
    </row>
    <row r="50" spans="1:58" ht="18" customHeight="1" x14ac:dyDescent="0.2">
      <c r="A50" s="1023" t="s">
        <v>256</v>
      </c>
      <c r="B50" s="1005">
        <f t="shared" si="14"/>
        <v>0</v>
      </c>
      <c r="C50" s="1006"/>
      <c r="D50" s="1008"/>
      <c r="E50" s="1008"/>
      <c r="F50" s="1008"/>
      <c r="G50" s="1009"/>
      <c r="H50" s="1008"/>
      <c r="I50" s="1008"/>
      <c r="J50" s="1008"/>
      <c r="K50" s="1008"/>
      <c r="L50" s="1008"/>
      <c r="M50" s="1008"/>
      <c r="N50" s="1008"/>
      <c r="O50" s="1008"/>
      <c r="P50" s="1008"/>
      <c r="Q50" s="1008"/>
      <c r="R50" s="1008"/>
      <c r="S50" s="1008"/>
      <c r="T50" s="1008"/>
      <c r="U50" s="1008"/>
      <c r="V50" s="1008"/>
      <c r="W50" s="1008"/>
      <c r="X50" s="1008"/>
      <c r="Y50" s="1008"/>
      <c r="Z50" s="1008"/>
      <c r="AA50" s="1008"/>
      <c r="AB50" s="1008"/>
      <c r="AC50" s="1008"/>
      <c r="AD50" s="1027"/>
      <c r="AE50" s="1008"/>
      <c r="AF50" s="1027"/>
      <c r="AG50" s="1027"/>
      <c r="AH50" s="1027"/>
      <c r="AI50" s="1027"/>
      <c r="AJ50" s="1009"/>
      <c r="AK50" s="1008"/>
      <c r="AL50" s="1008"/>
      <c r="AM50" s="1008"/>
      <c r="AN50" s="1008"/>
      <c r="AO50" s="1008"/>
      <c r="AP50" s="1008"/>
      <c r="AQ50" s="1008"/>
      <c r="AR50" s="1008"/>
      <c r="AS50" s="1008"/>
      <c r="AT50" s="1008"/>
      <c r="AU50" s="1008"/>
      <c r="AV50" s="1008"/>
      <c r="AW50" s="1008"/>
      <c r="AX50" s="1008"/>
      <c r="AY50" s="1008"/>
      <c r="AZ50" s="1009"/>
      <c r="BA50" s="1009"/>
      <c r="BB50" s="1009"/>
      <c r="BC50" s="1009"/>
      <c r="BD50" s="1009"/>
      <c r="BE50" s="1009"/>
      <c r="BF50" s="1010"/>
    </row>
    <row r="51" spans="1:58" ht="18" customHeight="1" x14ac:dyDescent="0.2">
      <c r="A51" s="972" t="s">
        <v>51</v>
      </c>
      <c r="B51" s="1005">
        <f t="shared" si="14"/>
        <v>3</v>
      </c>
      <c r="C51" s="1006"/>
      <c r="D51" s="1008"/>
      <c r="E51" s="1008"/>
      <c r="F51" s="1008"/>
      <c r="G51" s="1009"/>
      <c r="H51" s="1008"/>
      <c r="I51" s="1008"/>
      <c r="J51" s="1008"/>
      <c r="K51" s="1008"/>
      <c r="L51" s="1008"/>
      <c r="M51" s="1008" t="s">
        <v>8</v>
      </c>
      <c r="N51" s="1008"/>
      <c r="O51" s="1008"/>
      <c r="P51" s="1008"/>
      <c r="Q51" s="1008"/>
      <c r="R51" s="1008"/>
      <c r="S51" s="1008"/>
      <c r="T51" s="1008"/>
      <c r="U51" s="1008"/>
      <c r="V51" s="1008"/>
      <c r="W51" s="1008"/>
      <c r="X51" s="1008"/>
      <c r="Y51" s="1008"/>
      <c r="Z51" s="1008"/>
      <c r="AA51" s="1008"/>
      <c r="AB51" s="1008"/>
      <c r="AC51" s="1008"/>
      <c r="AD51" s="1027"/>
      <c r="AE51" s="1008"/>
      <c r="AF51" s="1027"/>
      <c r="AG51" s="1027"/>
      <c r="AH51" s="1027"/>
      <c r="AI51" s="1027"/>
      <c r="AJ51" s="1009"/>
      <c r="AK51" s="1008"/>
      <c r="AL51" s="1008"/>
      <c r="AM51" s="1008"/>
      <c r="AN51" s="1008" t="s">
        <v>8</v>
      </c>
      <c r="AO51" s="1008"/>
      <c r="AP51" s="1008"/>
      <c r="AQ51" s="1008"/>
      <c r="AR51" s="1008"/>
      <c r="AS51" s="1008"/>
      <c r="AT51" s="1008"/>
      <c r="AU51" s="1008"/>
      <c r="AV51" s="1008"/>
      <c r="AW51" s="1008"/>
      <c r="AX51" s="1008"/>
      <c r="AY51" s="1008"/>
      <c r="AZ51" s="1009"/>
      <c r="BA51" s="1009"/>
      <c r="BB51" s="1009"/>
      <c r="BC51" s="1009"/>
      <c r="BD51" s="1009"/>
      <c r="BE51" s="1009"/>
      <c r="BF51" s="1010" t="s">
        <v>8</v>
      </c>
    </row>
    <row r="52" spans="1:58" ht="18" customHeight="1" thickBot="1" x14ac:dyDescent="0.25">
      <c r="A52" s="973" t="s">
        <v>116</v>
      </c>
      <c r="B52" s="1012">
        <f t="shared" si="14"/>
        <v>0</v>
      </c>
      <c r="C52" s="1013"/>
      <c r="D52" s="1014"/>
      <c r="E52" s="1014"/>
      <c r="F52" s="1014"/>
      <c r="G52" s="1015"/>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28"/>
      <c r="AE52" s="1014"/>
      <c r="AF52" s="1028"/>
      <c r="AG52" s="1028"/>
      <c r="AH52" s="1028"/>
      <c r="AI52" s="1028"/>
      <c r="AJ52" s="1015"/>
      <c r="AK52" s="1014"/>
      <c r="AL52" s="1014"/>
      <c r="AM52" s="1014"/>
      <c r="AN52" s="1014"/>
      <c r="AO52" s="1014"/>
      <c r="AP52" s="1014"/>
      <c r="AQ52" s="1014"/>
      <c r="AR52" s="1014"/>
      <c r="AS52" s="1014"/>
      <c r="AT52" s="1014"/>
      <c r="AU52" s="1014"/>
      <c r="AV52" s="1014"/>
      <c r="AW52" s="1014"/>
      <c r="AX52" s="1014"/>
      <c r="AY52" s="1014"/>
      <c r="AZ52" s="1015"/>
      <c r="BA52" s="1015"/>
      <c r="BB52" s="1015"/>
      <c r="BC52" s="1015"/>
      <c r="BD52" s="1015"/>
      <c r="BE52" s="1015"/>
      <c r="BF52" s="1016"/>
    </row>
    <row r="53" spans="1:58" ht="13.5" thickBot="1" x14ac:dyDescent="0.25">
      <c r="C53" s="370">
        <f>COUNTIF(C3:C52,"y")</f>
        <v>2</v>
      </c>
      <c r="D53" s="369">
        <f t="shared" ref="D53:BF53" si="15">COUNTIF(D3:D52,"y")</f>
        <v>2</v>
      </c>
      <c r="E53" s="369">
        <f t="shared" si="15"/>
        <v>1</v>
      </c>
      <c r="F53" s="369">
        <f t="shared" si="15"/>
        <v>3</v>
      </c>
      <c r="G53" s="962">
        <f t="shared" si="15"/>
        <v>1</v>
      </c>
      <c r="H53" s="369">
        <f t="shared" si="15"/>
        <v>3</v>
      </c>
      <c r="I53" s="369">
        <f t="shared" si="15"/>
        <v>3</v>
      </c>
      <c r="J53" s="369">
        <f t="shared" si="15"/>
        <v>1</v>
      </c>
      <c r="K53" s="369">
        <f t="shared" si="15"/>
        <v>4</v>
      </c>
      <c r="L53" s="369">
        <f t="shared" si="15"/>
        <v>1</v>
      </c>
      <c r="M53" s="369">
        <f t="shared" si="15"/>
        <v>28</v>
      </c>
      <c r="N53" s="369">
        <f t="shared" si="15"/>
        <v>9</v>
      </c>
      <c r="O53" s="369">
        <f t="shared" si="15"/>
        <v>3</v>
      </c>
      <c r="P53" s="369">
        <f t="shared" si="15"/>
        <v>1</v>
      </c>
      <c r="Q53" s="369">
        <f t="shared" si="15"/>
        <v>4</v>
      </c>
      <c r="R53" s="369">
        <f t="shared" si="15"/>
        <v>1</v>
      </c>
      <c r="S53" s="369">
        <f t="shared" si="15"/>
        <v>4</v>
      </c>
      <c r="T53" s="369">
        <f t="shared" si="15"/>
        <v>1</v>
      </c>
      <c r="U53" s="369">
        <f t="shared" si="15"/>
        <v>2</v>
      </c>
      <c r="V53" s="369">
        <f t="shared" si="15"/>
        <v>1</v>
      </c>
      <c r="W53" s="369">
        <f t="shared" si="15"/>
        <v>1</v>
      </c>
      <c r="X53" s="369">
        <f t="shared" si="15"/>
        <v>3</v>
      </c>
      <c r="Y53" s="369">
        <f t="shared" si="15"/>
        <v>1</v>
      </c>
      <c r="Z53" s="369">
        <f t="shared" si="15"/>
        <v>1</v>
      </c>
      <c r="AA53" s="369">
        <f t="shared" si="15"/>
        <v>1</v>
      </c>
      <c r="AB53" s="369">
        <f t="shared" si="15"/>
        <v>1</v>
      </c>
      <c r="AC53" s="369">
        <f t="shared" si="15"/>
        <v>2</v>
      </c>
      <c r="AD53" s="369">
        <f t="shared" si="15"/>
        <v>0</v>
      </c>
      <c r="AE53" s="369">
        <f t="shared" si="15"/>
        <v>1</v>
      </c>
      <c r="AF53" s="369">
        <f t="shared" si="15"/>
        <v>0</v>
      </c>
      <c r="AG53" s="369">
        <f t="shared" si="15"/>
        <v>0</v>
      </c>
      <c r="AH53" s="962">
        <f t="shared" si="15"/>
        <v>0</v>
      </c>
      <c r="AI53" s="369">
        <f t="shared" si="15"/>
        <v>0</v>
      </c>
      <c r="AJ53" s="369">
        <f t="shared" si="15"/>
        <v>4</v>
      </c>
      <c r="AK53" s="369">
        <f t="shared" si="15"/>
        <v>2</v>
      </c>
      <c r="AL53" s="369">
        <f t="shared" si="15"/>
        <v>3</v>
      </c>
      <c r="AM53" s="369">
        <f t="shared" si="15"/>
        <v>3</v>
      </c>
      <c r="AN53" s="369">
        <f t="shared" si="15"/>
        <v>8</v>
      </c>
      <c r="AO53" s="369">
        <f t="shared" si="15"/>
        <v>2</v>
      </c>
      <c r="AP53" s="369">
        <f t="shared" si="15"/>
        <v>2</v>
      </c>
      <c r="AQ53" s="369">
        <f t="shared" si="15"/>
        <v>1</v>
      </c>
      <c r="AR53" s="369">
        <f t="shared" si="15"/>
        <v>1</v>
      </c>
      <c r="AS53" s="369">
        <f t="shared" si="15"/>
        <v>1</v>
      </c>
      <c r="AT53" s="369">
        <f t="shared" si="15"/>
        <v>1</v>
      </c>
      <c r="AU53" s="369">
        <f t="shared" si="15"/>
        <v>3</v>
      </c>
      <c r="AV53" s="369">
        <f t="shared" si="15"/>
        <v>1</v>
      </c>
      <c r="AW53" s="369">
        <f t="shared" si="15"/>
        <v>1</v>
      </c>
      <c r="AX53" s="962">
        <f t="shared" si="15"/>
        <v>1</v>
      </c>
      <c r="AY53" s="962">
        <f t="shared" si="15"/>
        <v>2</v>
      </c>
      <c r="AZ53" s="962">
        <f t="shared" si="15"/>
        <v>1</v>
      </c>
      <c r="BA53" s="962">
        <f t="shared" si="15"/>
        <v>1</v>
      </c>
      <c r="BB53" s="962">
        <f t="shared" si="15"/>
        <v>3</v>
      </c>
      <c r="BC53" s="962">
        <f t="shared" si="15"/>
        <v>3</v>
      </c>
      <c r="BD53" s="962">
        <f t="shared" si="15"/>
        <v>2</v>
      </c>
      <c r="BE53" s="962">
        <f t="shared" si="15"/>
        <v>3</v>
      </c>
      <c r="BF53" s="963">
        <f t="shared" si="15"/>
        <v>2</v>
      </c>
    </row>
  </sheetData>
  <sortState xmlns:xlrd2="http://schemas.microsoft.com/office/spreadsheetml/2017/richdata2" ref="A3:BF51">
    <sortCondition ref="A3:A51"/>
  </sortState>
  <mergeCells count="2">
    <mergeCell ref="A1:A2"/>
    <mergeCell ref="B1:B2"/>
  </mergeCells>
  <conditionalFormatting sqref="C2:BF2">
    <cfRule type="expression" dxfId="0" priority="5">
      <formula>IF(#REF!=0,TRUE,FALSE)</formula>
    </cfRule>
  </conditionalFormatting>
  <printOptions horizontalCentered="1"/>
  <pageMargins left="0.2" right="0.2" top="0.75" bottom="0.75" header="0.3" footer="0.3"/>
  <pageSetup scale="39" fitToHeight="99" orientation="landscape" r:id="rId1"/>
  <headerFooter>
    <oddHeader>&amp;C&amp;"Arial,Bold"&amp;12Philmont
Staff Camp Programs</oddHeader>
    <oddFooter>&amp;L&amp;8&amp;F!&amp;A&amp;R&amp;8&amp;D &amp;T</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S171"/>
  <sheetViews>
    <sheetView workbookViewId="0">
      <pane xSplit="2" ySplit="1" topLeftCell="C34" activePane="bottomRight" state="frozenSplit"/>
      <selection activeCell="AK38" sqref="AK38"/>
      <selection pane="topRight" activeCell="AK38" sqref="AK38"/>
      <selection pane="bottomLeft" activeCell="AK38" sqref="AK38"/>
      <selection pane="bottomRight" activeCell="J64" sqref="J64"/>
    </sheetView>
  </sheetViews>
  <sheetFormatPr defaultRowHeight="14.25" x14ac:dyDescent="0.2"/>
  <cols>
    <col min="1" max="1" width="11.7109375" style="1" customWidth="1"/>
    <col min="2" max="2" width="26.5703125" style="24" customWidth="1"/>
    <col min="3" max="3" width="12.85546875" style="42" customWidth="1"/>
    <col min="4" max="5" width="13.7109375" style="19" customWidth="1"/>
    <col min="6" max="6" width="14" style="19" customWidth="1"/>
    <col min="7" max="7" width="13.85546875" style="43" customWidth="1"/>
    <col min="8" max="8" width="14.7109375" style="43" customWidth="1"/>
    <col min="9" max="10" width="11.85546875" style="66" customWidth="1"/>
    <col min="11" max="12" width="12.42578125" style="19" customWidth="1"/>
    <col min="13" max="13" width="14.85546875" style="19" customWidth="1"/>
    <col min="14" max="14" width="28.42578125" style="19" customWidth="1"/>
    <col min="15" max="15" width="12.42578125" style="19" customWidth="1"/>
    <col min="16" max="18" width="9.140625" style="19" customWidth="1"/>
    <col min="19" max="19" width="10.85546875" style="19" customWidth="1"/>
  </cols>
  <sheetData>
    <row r="1" spans="1:14" ht="15.75" thickBot="1" x14ac:dyDescent="0.3">
      <c r="A1" s="228" t="s">
        <v>311</v>
      </c>
      <c r="B1" s="229" t="s">
        <v>38</v>
      </c>
      <c r="C1" s="230" t="s">
        <v>167</v>
      </c>
      <c r="D1" s="231" t="s">
        <v>211</v>
      </c>
      <c r="E1" s="231" t="s">
        <v>210</v>
      </c>
      <c r="F1" s="232" t="s">
        <v>53</v>
      </c>
      <c r="G1" s="230" t="s">
        <v>177</v>
      </c>
      <c r="H1" s="230" t="s">
        <v>178</v>
      </c>
      <c r="I1" s="230" t="s">
        <v>171</v>
      </c>
      <c r="J1" s="230" t="s">
        <v>181</v>
      </c>
      <c r="K1" s="230" t="s">
        <v>179</v>
      </c>
      <c r="L1" s="230" t="s">
        <v>180</v>
      </c>
      <c r="M1" s="233" t="s">
        <v>212</v>
      </c>
      <c r="N1" s="227"/>
    </row>
    <row r="2" spans="1:14" ht="15" x14ac:dyDescent="0.25">
      <c r="A2" s="221"/>
      <c r="B2" s="222" t="s">
        <v>128</v>
      </c>
      <c r="C2" s="222" t="s">
        <v>11</v>
      </c>
      <c r="D2" s="223">
        <v>498586</v>
      </c>
      <c r="E2" s="223">
        <v>4025999</v>
      </c>
      <c r="F2" s="224">
        <v>7217</v>
      </c>
      <c r="G2" s="225" t="s">
        <v>244</v>
      </c>
      <c r="H2" s="225" t="s">
        <v>244</v>
      </c>
      <c r="I2" s="225" t="s">
        <v>169</v>
      </c>
      <c r="J2" s="225" t="s">
        <v>244</v>
      </c>
      <c r="K2" s="225" t="s">
        <v>244</v>
      </c>
      <c r="L2" s="225" t="s">
        <v>169</v>
      </c>
      <c r="M2" s="226" t="s">
        <v>11</v>
      </c>
      <c r="N2" s="184"/>
    </row>
    <row r="3" spans="1:14" ht="15" x14ac:dyDescent="0.25">
      <c r="A3" s="185"/>
      <c r="B3" s="186" t="s">
        <v>135</v>
      </c>
      <c r="C3" s="186" t="s">
        <v>11</v>
      </c>
      <c r="D3" s="187">
        <v>488935</v>
      </c>
      <c r="E3" s="187">
        <v>4026589</v>
      </c>
      <c r="F3" s="188">
        <v>8726</v>
      </c>
      <c r="G3" s="189" t="s">
        <v>244</v>
      </c>
      <c r="H3" s="189" t="s">
        <v>244</v>
      </c>
      <c r="I3" s="189" t="s">
        <v>244</v>
      </c>
      <c r="J3" s="189" t="s">
        <v>169</v>
      </c>
      <c r="K3" s="189" t="s">
        <v>244</v>
      </c>
      <c r="L3" s="189" t="s">
        <v>244</v>
      </c>
      <c r="M3" s="190" t="s">
        <v>11</v>
      </c>
      <c r="N3" s="184"/>
    </row>
    <row r="4" spans="1:14" ht="15" x14ac:dyDescent="0.25">
      <c r="A4" s="185"/>
      <c r="B4" s="186" t="s">
        <v>54</v>
      </c>
      <c r="C4" s="186" t="s">
        <v>11</v>
      </c>
      <c r="D4" s="187">
        <v>497862</v>
      </c>
      <c r="E4" s="187">
        <v>4028279</v>
      </c>
      <c r="F4" s="188">
        <v>8282</v>
      </c>
      <c r="G4" s="189" t="s">
        <v>244</v>
      </c>
      <c r="H4" s="189" t="s">
        <v>244</v>
      </c>
      <c r="I4" s="189" t="s">
        <v>244</v>
      </c>
      <c r="J4" s="189" t="s">
        <v>169</v>
      </c>
      <c r="K4" s="189" t="s">
        <v>244</v>
      </c>
      <c r="L4" s="189" t="s">
        <v>244</v>
      </c>
      <c r="M4" s="190" t="s">
        <v>11</v>
      </c>
      <c r="N4" s="184"/>
    </row>
    <row r="5" spans="1:14" ht="15" x14ac:dyDescent="0.25">
      <c r="A5" s="191">
        <v>2019</v>
      </c>
      <c r="B5" s="192" t="s">
        <v>301</v>
      </c>
      <c r="C5" s="192" t="s">
        <v>11</v>
      </c>
      <c r="D5" s="193">
        <v>481557.83</v>
      </c>
      <c r="E5" s="193">
        <v>4035889.24</v>
      </c>
      <c r="F5" s="194">
        <v>9815</v>
      </c>
      <c r="G5" s="195"/>
      <c r="H5" s="195"/>
      <c r="I5" s="195" t="s">
        <v>244</v>
      </c>
      <c r="J5" s="195" t="s">
        <v>169</v>
      </c>
      <c r="K5" s="195" t="s">
        <v>244</v>
      </c>
      <c r="L5" s="195"/>
      <c r="M5" s="196" t="s">
        <v>11</v>
      </c>
      <c r="N5" s="184"/>
    </row>
    <row r="6" spans="1:14" ht="15" x14ac:dyDescent="0.25">
      <c r="A6" s="185"/>
      <c r="B6" s="186" t="s">
        <v>55</v>
      </c>
      <c r="C6" s="186" t="s">
        <v>12</v>
      </c>
      <c r="D6" s="187">
        <v>501736</v>
      </c>
      <c r="E6" s="187">
        <v>4051171</v>
      </c>
      <c r="F6" s="188">
        <v>6911</v>
      </c>
      <c r="G6" s="189" t="s">
        <v>244</v>
      </c>
      <c r="H6" s="189" t="s">
        <v>244</v>
      </c>
      <c r="I6" s="189" t="s">
        <v>244</v>
      </c>
      <c r="J6" s="189" t="s">
        <v>169</v>
      </c>
      <c r="K6" s="189" t="s">
        <v>244</v>
      </c>
      <c r="L6" s="189" t="s">
        <v>244</v>
      </c>
      <c r="M6" s="190" t="s">
        <v>12</v>
      </c>
      <c r="N6" s="184"/>
    </row>
    <row r="7" spans="1:14" ht="15" x14ac:dyDescent="0.25">
      <c r="A7" s="185"/>
      <c r="B7" s="186" t="s">
        <v>56</v>
      </c>
      <c r="C7" s="186" t="s">
        <v>11</v>
      </c>
      <c r="D7" s="187">
        <v>487072</v>
      </c>
      <c r="E7" s="187">
        <v>4026937</v>
      </c>
      <c r="F7" s="188">
        <v>9409</v>
      </c>
      <c r="G7" s="189" t="s">
        <v>169</v>
      </c>
      <c r="H7" s="189" t="s">
        <v>244</v>
      </c>
      <c r="I7" s="189" t="s">
        <v>169</v>
      </c>
      <c r="J7" s="189" t="s">
        <v>244</v>
      </c>
      <c r="K7" s="189" t="s">
        <v>244</v>
      </c>
      <c r="L7" s="189" t="s">
        <v>244</v>
      </c>
      <c r="M7" s="190" t="s">
        <v>11</v>
      </c>
      <c r="N7" s="184"/>
    </row>
    <row r="8" spans="1:14" ht="15" x14ac:dyDescent="0.25">
      <c r="A8" s="191">
        <v>2019</v>
      </c>
      <c r="B8" s="192" t="s">
        <v>300</v>
      </c>
      <c r="C8" s="192" t="s">
        <v>11</v>
      </c>
      <c r="D8" s="193">
        <v>496899.66</v>
      </c>
      <c r="E8" s="193">
        <v>4035172.06</v>
      </c>
      <c r="F8" s="194">
        <v>7644</v>
      </c>
      <c r="G8" s="195"/>
      <c r="H8" s="195"/>
      <c r="I8" s="195" t="s">
        <v>244</v>
      </c>
      <c r="J8" s="195" t="s">
        <v>169</v>
      </c>
      <c r="K8" s="195" t="s">
        <v>169</v>
      </c>
      <c r="L8" s="195"/>
      <c r="M8" s="196" t="s">
        <v>11</v>
      </c>
      <c r="N8" s="184"/>
    </row>
    <row r="9" spans="1:14" ht="15" x14ac:dyDescent="0.25">
      <c r="A9" s="185"/>
      <c r="B9" s="186" t="s">
        <v>57</v>
      </c>
      <c r="C9" s="186" t="s">
        <v>13</v>
      </c>
      <c r="D9" s="187">
        <v>494588</v>
      </c>
      <c r="E9" s="187">
        <v>4039845</v>
      </c>
      <c r="F9" s="188">
        <v>7912</v>
      </c>
      <c r="G9" s="189" t="s">
        <v>244</v>
      </c>
      <c r="H9" s="189" t="s">
        <v>244</v>
      </c>
      <c r="I9" s="189" t="s">
        <v>244</v>
      </c>
      <c r="J9" s="189" t="s">
        <v>169</v>
      </c>
      <c r="K9" s="189" t="s">
        <v>244</v>
      </c>
      <c r="L9" s="189" t="s">
        <v>244</v>
      </c>
      <c r="M9" s="190" t="s">
        <v>11</v>
      </c>
      <c r="N9" s="184"/>
    </row>
    <row r="10" spans="1:14" ht="15" x14ac:dyDescent="0.25">
      <c r="A10" s="259">
        <v>2021</v>
      </c>
      <c r="B10" s="260" t="s">
        <v>354</v>
      </c>
      <c r="C10" s="260" t="s">
        <v>12</v>
      </c>
      <c r="D10" s="261">
        <v>482386.37579999998</v>
      </c>
      <c r="E10" s="261">
        <v>4054351.6874000002</v>
      </c>
      <c r="F10" s="262">
        <v>10640</v>
      </c>
      <c r="G10" s="263"/>
      <c r="H10" s="263"/>
      <c r="I10" s="263" t="s">
        <v>244</v>
      </c>
      <c r="J10" s="263" t="s">
        <v>169</v>
      </c>
      <c r="K10" s="263" t="s">
        <v>169</v>
      </c>
      <c r="L10" s="263"/>
      <c r="M10" s="264" t="s">
        <v>12</v>
      </c>
      <c r="N10" s="184"/>
    </row>
    <row r="11" spans="1:14" ht="15" x14ac:dyDescent="0.25">
      <c r="A11" s="185"/>
      <c r="B11" s="186" t="s">
        <v>58</v>
      </c>
      <c r="C11" s="186" t="s">
        <v>11</v>
      </c>
      <c r="D11" s="187">
        <v>502047</v>
      </c>
      <c r="E11" s="187">
        <v>4027556</v>
      </c>
      <c r="F11" s="188">
        <v>7688</v>
      </c>
      <c r="G11" s="189" t="s">
        <v>244</v>
      </c>
      <c r="H11" s="189" t="s">
        <v>244</v>
      </c>
      <c r="I11" s="189" t="s">
        <v>244</v>
      </c>
      <c r="J11" s="189" t="s">
        <v>169</v>
      </c>
      <c r="K11" s="189" t="s">
        <v>244</v>
      </c>
      <c r="L11" s="189" t="s">
        <v>244</v>
      </c>
      <c r="M11" s="190" t="s">
        <v>11</v>
      </c>
      <c r="N11" s="184"/>
    </row>
    <row r="12" spans="1:14" ht="15" x14ac:dyDescent="0.25">
      <c r="A12" s="185"/>
      <c r="B12" s="186" t="s">
        <v>59</v>
      </c>
      <c r="C12" s="186" t="s">
        <v>12</v>
      </c>
      <c r="D12" s="197">
        <v>487283.46</v>
      </c>
      <c r="E12" s="197">
        <v>4052136.12</v>
      </c>
      <c r="F12" s="198">
        <v>9140</v>
      </c>
      <c r="G12" s="189" t="s">
        <v>244</v>
      </c>
      <c r="H12" s="189" t="s">
        <v>244</v>
      </c>
      <c r="I12" s="189" t="s">
        <v>244</v>
      </c>
      <c r="J12" s="189" t="s">
        <v>169</v>
      </c>
      <c r="K12" s="189" t="s">
        <v>244</v>
      </c>
      <c r="L12" s="189" t="s">
        <v>244</v>
      </c>
      <c r="M12" s="190" t="s">
        <v>12</v>
      </c>
      <c r="N12" s="184"/>
    </row>
    <row r="13" spans="1:14" ht="15" x14ac:dyDescent="0.25">
      <c r="A13" s="185"/>
      <c r="B13" s="186" t="s">
        <v>60</v>
      </c>
      <c r="C13" s="186" t="s">
        <v>12</v>
      </c>
      <c r="D13" s="187">
        <v>482894</v>
      </c>
      <c r="E13" s="187">
        <v>4053456</v>
      </c>
      <c r="F13" s="188">
        <v>9851</v>
      </c>
      <c r="G13" s="189" t="s">
        <v>169</v>
      </c>
      <c r="H13" s="189" t="s">
        <v>169</v>
      </c>
      <c r="I13" s="189" t="s">
        <v>169</v>
      </c>
      <c r="J13" s="189" t="s">
        <v>244</v>
      </c>
      <c r="K13" s="189" t="s">
        <v>244</v>
      </c>
      <c r="L13" s="189" t="s">
        <v>169</v>
      </c>
      <c r="M13" s="190" t="s">
        <v>12</v>
      </c>
      <c r="N13" s="184"/>
    </row>
    <row r="14" spans="1:14" ht="15" x14ac:dyDescent="0.25">
      <c r="A14" s="185"/>
      <c r="B14" s="186" t="s">
        <v>61</v>
      </c>
      <c r="C14" s="186" t="s">
        <v>13</v>
      </c>
      <c r="D14" s="197">
        <v>503848</v>
      </c>
      <c r="E14" s="197">
        <v>4034364</v>
      </c>
      <c r="F14" s="198">
        <v>6696</v>
      </c>
      <c r="G14" s="189" t="s">
        <v>244</v>
      </c>
      <c r="H14" s="189" t="s">
        <v>244</v>
      </c>
      <c r="I14" s="189" t="s">
        <v>244</v>
      </c>
      <c r="J14" s="189" t="s">
        <v>169</v>
      </c>
      <c r="K14" s="189" t="s">
        <v>244</v>
      </c>
      <c r="L14" s="189" t="s">
        <v>244</v>
      </c>
      <c r="M14" s="190" t="s">
        <v>11</v>
      </c>
      <c r="N14" s="184"/>
    </row>
    <row r="15" spans="1:14" ht="15" x14ac:dyDescent="0.25">
      <c r="A15" s="185"/>
      <c r="B15" s="186" t="s">
        <v>62</v>
      </c>
      <c r="C15" s="186" t="s">
        <v>11</v>
      </c>
      <c r="D15" s="187">
        <v>487881</v>
      </c>
      <c r="E15" s="187">
        <v>4028169</v>
      </c>
      <c r="F15" s="188">
        <v>9288</v>
      </c>
      <c r="G15" s="189" t="s">
        <v>244</v>
      </c>
      <c r="H15" s="189" t="s">
        <v>244</v>
      </c>
      <c r="I15" s="189" t="s">
        <v>244</v>
      </c>
      <c r="J15" s="189" t="s">
        <v>169</v>
      </c>
      <c r="K15" s="189" t="s">
        <v>244</v>
      </c>
      <c r="L15" s="189" t="s">
        <v>244</v>
      </c>
      <c r="M15" s="190" t="s">
        <v>11</v>
      </c>
      <c r="N15" s="184"/>
    </row>
    <row r="16" spans="1:14" ht="15" x14ac:dyDescent="0.25">
      <c r="A16" s="185"/>
      <c r="B16" s="186" t="s">
        <v>129</v>
      </c>
      <c r="C16" s="186" t="s">
        <v>11</v>
      </c>
      <c r="D16" s="187">
        <v>496976</v>
      </c>
      <c r="E16" s="187">
        <v>4028855</v>
      </c>
      <c r="F16" s="188">
        <v>8423</v>
      </c>
      <c r="G16" s="189" t="s">
        <v>244</v>
      </c>
      <c r="H16" s="189" t="s">
        <v>244</v>
      </c>
      <c r="I16" s="189" t="s">
        <v>244</v>
      </c>
      <c r="J16" s="189" t="s">
        <v>169</v>
      </c>
      <c r="K16" s="189" t="s">
        <v>244</v>
      </c>
      <c r="L16" s="189" t="s">
        <v>244</v>
      </c>
      <c r="M16" s="190" t="s">
        <v>11</v>
      </c>
      <c r="N16" s="184"/>
    </row>
    <row r="17" spans="1:14" ht="15" x14ac:dyDescent="0.25">
      <c r="A17" s="259">
        <v>2021</v>
      </c>
      <c r="B17" s="260" t="s">
        <v>353</v>
      </c>
      <c r="C17" s="260" t="str">
        <f>C15</f>
        <v>South</v>
      </c>
      <c r="D17" s="261">
        <f t="shared" ref="D17:M17" si="0">D15</f>
        <v>487881</v>
      </c>
      <c r="E17" s="261">
        <f t="shared" si="0"/>
        <v>4028169</v>
      </c>
      <c r="F17" s="262">
        <f t="shared" si="0"/>
        <v>9288</v>
      </c>
      <c r="G17" s="263" t="str">
        <f t="shared" si="0"/>
        <v/>
      </c>
      <c r="H17" s="263" t="str">
        <f t="shared" si="0"/>
        <v/>
      </c>
      <c r="I17" s="263" t="s">
        <v>244</v>
      </c>
      <c r="J17" s="263" t="s">
        <v>169</v>
      </c>
      <c r="K17" s="263" t="s">
        <v>244</v>
      </c>
      <c r="L17" s="263" t="str">
        <f t="shared" si="0"/>
        <v/>
      </c>
      <c r="M17" s="264" t="str">
        <f t="shared" si="0"/>
        <v>South</v>
      </c>
      <c r="N17" s="184" t="s">
        <v>361</v>
      </c>
    </row>
    <row r="18" spans="1:14" ht="15" x14ac:dyDescent="0.25">
      <c r="A18" s="185"/>
      <c r="B18" s="186" t="s">
        <v>208</v>
      </c>
      <c r="C18" s="186" t="s">
        <v>10</v>
      </c>
      <c r="D18" s="197">
        <v>489314.61</v>
      </c>
      <c r="E18" s="197">
        <v>4064668.2415999998</v>
      </c>
      <c r="F18" s="198">
        <v>8178.6580000000004</v>
      </c>
      <c r="G18" s="189" t="s">
        <v>244</v>
      </c>
      <c r="H18" s="189" t="s">
        <v>244</v>
      </c>
      <c r="I18" s="189" t="s">
        <v>244</v>
      </c>
      <c r="J18" s="189" t="s">
        <v>169</v>
      </c>
      <c r="K18" s="189" t="s">
        <v>169</v>
      </c>
      <c r="L18" s="189" t="s">
        <v>244</v>
      </c>
      <c r="M18" s="190" t="s">
        <v>12</v>
      </c>
      <c r="N18" s="184"/>
    </row>
    <row r="19" spans="1:14" ht="15" x14ac:dyDescent="0.25">
      <c r="A19" s="185"/>
      <c r="B19" s="186" t="s">
        <v>63</v>
      </c>
      <c r="C19" s="186" t="s">
        <v>11</v>
      </c>
      <c r="D19" s="187">
        <v>490738</v>
      </c>
      <c r="E19" s="187">
        <v>4030941</v>
      </c>
      <c r="F19" s="188">
        <v>9330</v>
      </c>
      <c r="G19" s="189" t="s">
        <v>244</v>
      </c>
      <c r="H19" s="189" t="s">
        <v>244</v>
      </c>
      <c r="I19" s="189" t="s">
        <v>169</v>
      </c>
      <c r="J19" s="189" t="s">
        <v>244</v>
      </c>
      <c r="K19" s="189" t="s">
        <v>244</v>
      </c>
      <c r="L19" s="189" t="s">
        <v>169</v>
      </c>
      <c r="M19" s="190" t="s">
        <v>11</v>
      </c>
      <c r="N19" s="184"/>
    </row>
    <row r="20" spans="1:14" ht="15" x14ac:dyDescent="0.25">
      <c r="A20" s="185"/>
      <c r="B20" s="186" t="s">
        <v>64</v>
      </c>
      <c r="C20" s="186" t="s">
        <v>12</v>
      </c>
      <c r="D20" s="187">
        <v>494100</v>
      </c>
      <c r="E20" s="187">
        <v>4054501</v>
      </c>
      <c r="F20" s="188">
        <v>7319</v>
      </c>
      <c r="G20" s="189" t="s">
        <v>244</v>
      </c>
      <c r="H20" s="189" t="s">
        <v>244</v>
      </c>
      <c r="I20" s="189" t="s">
        <v>244</v>
      </c>
      <c r="J20" s="189" t="s">
        <v>169</v>
      </c>
      <c r="K20" s="189" t="s">
        <v>244</v>
      </c>
      <c r="L20" s="189" t="s">
        <v>244</v>
      </c>
      <c r="M20" s="190" t="s">
        <v>12</v>
      </c>
      <c r="N20" s="184"/>
    </row>
    <row r="21" spans="1:14" ht="15" x14ac:dyDescent="0.25">
      <c r="A21" s="185"/>
      <c r="B21" s="186" t="s">
        <v>65</v>
      </c>
      <c r="C21" s="186" t="s">
        <v>12</v>
      </c>
      <c r="D21" s="187">
        <v>483104</v>
      </c>
      <c r="E21" s="187">
        <v>4051686</v>
      </c>
      <c r="F21" s="188">
        <v>9619</v>
      </c>
      <c r="G21" s="189" t="s">
        <v>244</v>
      </c>
      <c r="H21" s="189" t="s">
        <v>244</v>
      </c>
      <c r="I21" s="189" t="s">
        <v>244</v>
      </c>
      <c r="J21" s="189" t="s">
        <v>169</v>
      </c>
      <c r="K21" s="189" t="s">
        <v>244</v>
      </c>
      <c r="L21" s="189" t="s">
        <v>244</v>
      </c>
      <c r="M21" s="190" t="s">
        <v>12</v>
      </c>
      <c r="N21" s="184"/>
    </row>
    <row r="22" spans="1:14" ht="15" x14ac:dyDescent="0.25">
      <c r="A22" s="259">
        <v>2021</v>
      </c>
      <c r="B22" s="260" t="s">
        <v>355</v>
      </c>
      <c r="C22" s="260" t="str">
        <f>C21</f>
        <v>North</v>
      </c>
      <c r="D22" s="261">
        <f t="shared" ref="D22:M22" si="1">D21</f>
        <v>483104</v>
      </c>
      <c r="E22" s="261">
        <f t="shared" si="1"/>
        <v>4051686</v>
      </c>
      <c r="F22" s="262">
        <f t="shared" si="1"/>
        <v>9619</v>
      </c>
      <c r="G22" s="263" t="str">
        <f t="shared" si="1"/>
        <v/>
      </c>
      <c r="H22" s="263" t="str">
        <f t="shared" si="1"/>
        <v/>
      </c>
      <c r="I22" s="263" t="s">
        <v>244</v>
      </c>
      <c r="J22" s="263" t="s">
        <v>169</v>
      </c>
      <c r="K22" s="263" t="s">
        <v>244</v>
      </c>
      <c r="L22" s="263" t="str">
        <f t="shared" si="1"/>
        <v/>
      </c>
      <c r="M22" s="264" t="str">
        <f t="shared" si="1"/>
        <v>North</v>
      </c>
      <c r="N22" s="184" t="s">
        <v>362</v>
      </c>
    </row>
    <row r="23" spans="1:14" ht="15" x14ac:dyDescent="0.25">
      <c r="A23" s="259">
        <v>2021</v>
      </c>
      <c r="B23" s="260" t="s">
        <v>348</v>
      </c>
      <c r="C23" s="260" t="s">
        <v>12</v>
      </c>
      <c r="D23" s="261">
        <v>482367.65720000002</v>
      </c>
      <c r="E23" s="261">
        <v>4052309.574</v>
      </c>
      <c r="F23" s="262">
        <v>10750</v>
      </c>
      <c r="G23" s="263"/>
      <c r="H23" s="263"/>
      <c r="I23" s="263" t="s">
        <v>244</v>
      </c>
      <c r="J23" s="263" t="s">
        <v>169</v>
      </c>
      <c r="K23" s="263" t="s">
        <v>169</v>
      </c>
      <c r="L23" s="263"/>
      <c r="M23" s="264" t="s">
        <v>12</v>
      </c>
      <c r="N23" s="184"/>
    </row>
    <row r="24" spans="1:14" ht="15" x14ac:dyDescent="0.25">
      <c r="A24" s="185"/>
      <c r="B24" s="186" t="s">
        <v>209</v>
      </c>
      <c r="C24" s="186" t="s">
        <v>12</v>
      </c>
      <c r="D24" s="187">
        <v>496177</v>
      </c>
      <c r="E24" s="187">
        <v>4047265</v>
      </c>
      <c r="F24" s="188">
        <v>8211</v>
      </c>
      <c r="G24" s="189" t="s">
        <v>244</v>
      </c>
      <c r="H24" s="189" t="s">
        <v>244</v>
      </c>
      <c r="I24" s="189" t="s">
        <v>244</v>
      </c>
      <c r="J24" s="189" t="s">
        <v>169</v>
      </c>
      <c r="K24" s="189" t="s">
        <v>244</v>
      </c>
      <c r="L24" s="189" t="s">
        <v>244</v>
      </c>
      <c r="M24" s="190" t="s">
        <v>12</v>
      </c>
      <c r="N24" s="184"/>
    </row>
    <row r="25" spans="1:14" ht="15" x14ac:dyDescent="0.25">
      <c r="A25" s="185"/>
      <c r="B25" s="186" t="s">
        <v>66</v>
      </c>
      <c r="C25" s="186" t="s">
        <v>11</v>
      </c>
      <c r="D25" s="187">
        <v>491634</v>
      </c>
      <c r="E25" s="187">
        <v>4033045</v>
      </c>
      <c r="F25" s="188">
        <v>8991</v>
      </c>
      <c r="G25" s="189" t="s">
        <v>244</v>
      </c>
      <c r="H25" s="189" t="s">
        <v>244</v>
      </c>
      <c r="I25" s="189" t="s">
        <v>169</v>
      </c>
      <c r="J25" s="189" t="s">
        <v>244</v>
      </c>
      <c r="K25" s="189" t="s">
        <v>244</v>
      </c>
      <c r="L25" s="189" t="s">
        <v>244</v>
      </c>
      <c r="M25" s="190" t="s">
        <v>11</v>
      </c>
      <c r="N25" s="184"/>
    </row>
    <row r="26" spans="1:14" ht="15" x14ac:dyDescent="0.25">
      <c r="A26" s="379">
        <v>2022</v>
      </c>
      <c r="B26" s="380" t="s">
        <v>411</v>
      </c>
      <c r="C26" s="380" t="s">
        <v>12</v>
      </c>
      <c r="D26" s="382">
        <v>495101.6764</v>
      </c>
      <c r="E26" s="382">
        <v>4051329.0962</v>
      </c>
      <c r="F26" s="383">
        <v>7495</v>
      </c>
      <c r="G26" s="384"/>
      <c r="H26" s="384"/>
      <c r="I26" s="384" t="s">
        <v>244</v>
      </c>
      <c r="J26" s="384" t="s">
        <v>169</v>
      </c>
      <c r="K26" s="384" t="s">
        <v>169</v>
      </c>
      <c r="L26" s="384"/>
      <c r="M26" s="385" t="s">
        <v>12</v>
      </c>
      <c r="N26" s="184"/>
    </row>
    <row r="27" spans="1:14" ht="15" x14ac:dyDescent="0.25">
      <c r="A27" s="185"/>
      <c r="B27" s="186" t="s">
        <v>67</v>
      </c>
      <c r="C27" s="186" t="s">
        <v>11</v>
      </c>
      <c r="D27" s="199"/>
      <c r="E27" s="199"/>
      <c r="F27" s="198">
        <v>9120</v>
      </c>
      <c r="G27" s="189" t="s">
        <v>244</v>
      </c>
      <c r="H27" s="189" t="s">
        <v>244</v>
      </c>
      <c r="I27" s="189" t="s">
        <v>244</v>
      </c>
      <c r="J27" s="189" t="s">
        <v>169</v>
      </c>
      <c r="K27" s="189" t="s">
        <v>244</v>
      </c>
      <c r="L27" s="189" t="s">
        <v>244</v>
      </c>
      <c r="M27" s="190" t="s">
        <v>11</v>
      </c>
      <c r="N27" s="184"/>
    </row>
    <row r="28" spans="1:14" ht="15" x14ac:dyDescent="0.25">
      <c r="A28" s="185"/>
      <c r="B28" s="186" t="s">
        <v>68</v>
      </c>
      <c r="C28" s="186" t="s">
        <v>11</v>
      </c>
      <c r="D28" s="187">
        <v>488296</v>
      </c>
      <c r="E28" s="187">
        <v>4029577</v>
      </c>
      <c r="F28" s="188">
        <v>9131</v>
      </c>
      <c r="G28" s="189" t="s">
        <v>244</v>
      </c>
      <c r="H28" s="189" t="s">
        <v>244</v>
      </c>
      <c r="I28" s="189" t="s">
        <v>244</v>
      </c>
      <c r="J28" s="189" t="s">
        <v>169</v>
      </c>
      <c r="K28" s="189" t="s">
        <v>244</v>
      </c>
      <c r="L28" s="189" t="s">
        <v>244</v>
      </c>
      <c r="M28" s="190" t="s">
        <v>11</v>
      </c>
      <c r="N28" s="184"/>
    </row>
    <row r="29" spans="1:14" ht="15" x14ac:dyDescent="0.25">
      <c r="A29" s="271"/>
      <c r="B29" s="272" t="s">
        <v>367</v>
      </c>
      <c r="C29" s="272" t="str">
        <f>C14</f>
        <v>Central</v>
      </c>
      <c r="D29" s="273">
        <f t="shared" ref="D29:M29" si="2">D14</f>
        <v>503848</v>
      </c>
      <c r="E29" s="273">
        <f t="shared" si="2"/>
        <v>4034364</v>
      </c>
      <c r="F29" s="274">
        <f t="shared" si="2"/>
        <v>6696</v>
      </c>
      <c r="G29" s="275" t="str">
        <f t="shared" si="2"/>
        <v/>
      </c>
      <c r="H29" s="275" t="str">
        <f t="shared" si="2"/>
        <v/>
      </c>
      <c r="I29" s="275" t="s">
        <v>244</v>
      </c>
      <c r="J29" s="275" t="s">
        <v>169</v>
      </c>
      <c r="K29" s="275" t="s">
        <v>244</v>
      </c>
      <c r="L29" s="275" t="str">
        <f t="shared" si="2"/>
        <v/>
      </c>
      <c r="M29" s="276" t="str">
        <f t="shared" si="2"/>
        <v>South</v>
      </c>
      <c r="N29" s="184" t="s">
        <v>368</v>
      </c>
    </row>
    <row r="30" spans="1:14" ht="15" x14ac:dyDescent="0.25">
      <c r="A30" s="185"/>
      <c r="B30" s="186" t="s">
        <v>245</v>
      </c>
      <c r="C30" s="186" t="s">
        <v>12</v>
      </c>
      <c r="D30" s="187">
        <v>502454</v>
      </c>
      <c r="E30" s="187">
        <v>4047467</v>
      </c>
      <c r="F30" s="188">
        <v>7081</v>
      </c>
      <c r="G30" s="189" t="s">
        <v>244</v>
      </c>
      <c r="H30" s="189" t="s">
        <v>244</v>
      </c>
      <c r="I30" s="189" t="s">
        <v>244</v>
      </c>
      <c r="J30" s="189" t="s">
        <v>169</v>
      </c>
      <c r="K30" s="189" t="s">
        <v>244</v>
      </c>
      <c r="L30" s="189" t="s">
        <v>244</v>
      </c>
      <c r="M30" s="190" t="s">
        <v>12</v>
      </c>
      <c r="N30" s="184"/>
    </row>
    <row r="31" spans="1:14" ht="15" x14ac:dyDescent="0.25">
      <c r="A31" s="185"/>
      <c r="B31" s="186" t="s">
        <v>174</v>
      </c>
      <c r="C31" s="186" t="s">
        <v>11</v>
      </c>
      <c r="D31" s="187">
        <v>497851</v>
      </c>
      <c r="E31" s="187">
        <v>4024826</v>
      </c>
      <c r="F31" s="188">
        <v>7758</v>
      </c>
      <c r="G31" s="189" t="s">
        <v>244</v>
      </c>
      <c r="H31" s="189" t="s">
        <v>244</v>
      </c>
      <c r="I31" s="930" t="s">
        <v>458</v>
      </c>
      <c r="J31" s="189" t="s">
        <v>244</v>
      </c>
      <c r="K31" s="189" t="s">
        <v>244</v>
      </c>
      <c r="L31" s="189" t="s">
        <v>244</v>
      </c>
      <c r="M31" s="190" t="s">
        <v>11</v>
      </c>
      <c r="N31" s="184" t="s">
        <v>546</v>
      </c>
    </row>
    <row r="32" spans="1:14" ht="15" x14ac:dyDescent="0.25">
      <c r="A32" s="185"/>
      <c r="B32" s="186" t="s">
        <v>69</v>
      </c>
      <c r="C32" s="186" t="s">
        <v>13</v>
      </c>
      <c r="D32" s="187">
        <v>495619</v>
      </c>
      <c r="E32" s="187">
        <v>4037883</v>
      </c>
      <c r="F32" s="188">
        <v>7550</v>
      </c>
      <c r="G32" s="189" t="s">
        <v>244</v>
      </c>
      <c r="H32" s="189" t="s">
        <v>244</v>
      </c>
      <c r="I32" s="189" t="s">
        <v>244</v>
      </c>
      <c r="J32" s="189" t="s">
        <v>169</v>
      </c>
      <c r="K32" s="189" t="s">
        <v>244</v>
      </c>
      <c r="L32" s="189" t="s">
        <v>244</v>
      </c>
      <c r="M32" s="190" t="s">
        <v>11</v>
      </c>
      <c r="N32" s="184"/>
    </row>
    <row r="33" spans="1:14" ht="15" x14ac:dyDescent="0.25">
      <c r="A33" s="185"/>
      <c r="B33" s="186" t="s">
        <v>264</v>
      </c>
      <c r="C33" s="186" t="s">
        <v>12</v>
      </c>
      <c r="D33" s="187">
        <v>503643</v>
      </c>
      <c r="E33" s="187">
        <v>4053267</v>
      </c>
      <c r="F33" s="188">
        <v>7192</v>
      </c>
      <c r="G33" s="189" t="s">
        <v>244</v>
      </c>
      <c r="H33" s="189" t="s">
        <v>244</v>
      </c>
      <c r="I33" s="189" t="s">
        <v>244</v>
      </c>
      <c r="J33" s="189" t="s">
        <v>169</v>
      </c>
      <c r="K33" s="189" t="s">
        <v>244</v>
      </c>
      <c r="L33" s="189" t="s">
        <v>244</v>
      </c>
      <c r="M33" s="190" t="s">
        <v>12</v>
      </c>
      <c r="N33" s="184"/>
    </row>
    <row r="34" spans="1:14" ht="15" x14ac:dyDescent="0.25">
      <c r="A34" s="191">
        <v>2019</v>
      </c>
      <c r="B34" s="192" t="s">
        <v>302</v>
      </c>
      <c r="C34" s="192" t="s">
        <v>12</v>
      </c>
      <c r="D34" s="193">
        <v>504488.58</v>
      </c>
      <c r="E34" s="193">
        <v>4052426.91</v>
      </c>
      <c r="F34" s="194">
        <v>7177</v>
      </c>
      <c r="G34" s="195"/>
      <c r="H34" s="195"/>
      <c r="I34" s="195" t="s">
        <v>169</v>
      </c>
      <c r="J34" s="195" t="s">
        <v>244</v>
      </c>
      <c r="K34" s="195" t="s">
        <v>244</v>
      </c>
      <c r="L34" s="195"/>
      <c r="M34" s="196" t="s">
        <v>12</v>
      </c>
      <c r="N34" s="184"/>
    </row>
    <row r="35" spans="1:14" ht="15" x14ac:dyDescent="0.25">
      <c r="A35" s="185"/>
      <c r="B35" s="186" t="s">
        <v>289</v>
      </c>
      <c r="C35" s="186" t="s">
        <v>12</v>
      </c>
      <c r="D35" s="197">
        <v>506771</v>
      </c>
      <c r="E35" s="187">
        <v>4045397</v>
      </c>
      <c r="F35" s="188">
        <v>6552</v>
      </c>
      <c r="G35" s="189" t="s">
        <v>244</v>
      </c>
      <c r="H35" s="189" t="s">
        <v>244</v>
      </c>
      <c r="I35" s="189" t="s">
        <v>169</v>
      </c>
      <c r="J35" s="189" t="s">
        <v>244</v>
      </c>
      <c r="K35" s="189" t="s">
        <v>169</v>
      </c>
      <c r="L35" s="189" t="s">
        <v>244</v>
      </c>
      <c r="M35" s="190" t="s">
        <v>12</v>
      </c>
      <c r="N35" s="184"/>
    </row>
    <row r="36" spans="1:14" ht="15" x14ac:dyDescent="0.25">
      <c r="A36" s="185"/>
      <c r="B36" s="186" t="s">
        <v>70</v>
      </c>
      <c r="C36" s="186" t="s">
        <v>13</v>
      </c>
      <c r="D36" s="187">
        <v>494007</v>
      </c>
      <c r="E36" s="187">
        <v>4046488</v>
      </c>
      <c r="F36" s="188">
        <v>7282</v>
      </c>
      <c r="G36" s="189" t="s">
        <v>244</v>
      </c>
      <c r="H36" s="189" t="s">
        <v>244</v>
      </c>
      <c r="I36" s="189" t="s">
        <v>244</v>
      </c>
      <c r="J36" s="189" t="s">
        <v>169</v>
      </c>
      <c r="K36" s="189" t="s">
        <v>244</v>
      </c>
      <c r="L36" s="189" t="s">
        <v>244</v>
      </c>
      <c r="M36" s="190" t="s">
        <v>11</v>
      </c>
      <c r="N36" s="184"/>
    </row>
    <row r="37" spans="1:14" ht="15" x14ac:dyDescent="0.25">
      <c r="A37" s="259">
        <v>2021</v>
      </c>
      <c r="B37" s="260" t="s">
        <v>358</v>
      </c>
      <c r="C37" s="260" t="s">
        <v>13</v>
      </c>
      <c r="D37" s="261">
        <v>492337.15110000002</v>
      </c>
      <c r="E37" s="261">
        <v>4045746.6666999999</v>
      </c>
      <c r="F37" s="262">
        <v>7373</v>
      </c>
      <c r="G37" s="263"/>
      <c r="H37" s="263"/>
      <c r="I37" s="263" t="s">
        <v>169</v>
      </c>
      <c r="J37" s="263" t="s">
        <v>244</v>
      </c>
      <c r="K37" s="263" t="s">
        <v>244</v>
      </c>
      <c r="L37" s="263"/>
      <c r="M37" s="264" t="s">
        <v>363</v>
      </c>
      <c r="N37" s="184"/>
    </row>
    <row r="38" spans="1:14" ht="15" x14ac:dyDescent="0.25">
      <c r="A38" s="185"/>
      <c r="B38" s="186" t="s">
        <v>71</v>
      </c>
      <c r="C38" s="186" t="s">
        <v>13</v>
      </c>
      <c r="D38" s="187">
        <v>494139</v>
      </c>
      <c r="E38" s="187">
        <v>4039271</v>
      </c>
      <c r="F38" s="188">
        <v>8137</v>
      </c>
      <c r="G38" s="189" t="s">
        <v>244</v>
      </c>
      <c r="H38" s="189" t="s">
        <v>244</v>
      </c>
      <c r="I38" s="189" t="s">
        <v>169</v>
      </c>
      <c r="J38" s="189" t="s">
        <v>244</v>
      </c>
      <c r="K38" s="189" t="s">
        <v>244</v>
      </c>
      <c r="L38" s="189" t="s">
        <v>169</v>
      </c>
      <c r="M38" s="190" t="s">
        <v>11</v>
      </c>
      <c r="N38" s="184"/>
    </row>
    <row r="39" spans="1:14" ht="15" x14ac:dyDescent="0.25">
      <c r="A39" s="185"/>
      <c r="B39" s="186" t="s">
        <v>72</v>
      </c>
      <c r="C39" s="186" t="s">
        <v>13</v>
      </c>
      <c r="D39" s="187">
        <v>495699</v>
      </c>
      <c r="E39" s="197">
        <v>4035985.55</v>
      </c>
      <c r="F39" s="188">
        <v>7515</v>
      </c>
      <c r="G39" s="189" t="s">
        <v>244</v>
      </c>
      <c r="H39" s="189" t="s">
        <v>244</v>
      </c>
      <c r="I39" s="189" t="s">
        <v>169</v>
      </c>
      <c r="J39" s="189" t="s">
        <v>244</v>
      </c>
      <c r="K39" s="189" t="s">
        <v>244</v>
      </c>
      <c r="L39" s="189" t="s">
        <v>169</v>
      </c>
      <c r="M39" s="190" t="s">
        <v>11</v>
      </c>
      <c r="N39" s="184"/>
    </row>
    <row r="40" spans="1:14" ht="15" x14ac:dyDescent="0.25">
      <c r="A40" s="185"/>
      <c r="B40" s="186" t="s">
        <v>73</v>
      </c>
      <c r="C40" s="186" t="s">
        <v>13</v>
      </c>
      <c r="D40" s="187">
        <v>483477</v>
      </c>
      <c r="E40" s="187">
        <v>4036332</v>
      </c>
      <c r="F40" s="198">
        <v>10240</v>
      </c>
      <c r="G40" s="189" t="s">
        <v>244</v>
      </c>
      <c r="H40" s="189" t="s">
        <v>244</v>
      </c>
      <c r="I40" s="189" t="s">
        <v>169</v>
      </c>
      <c r="J40" s="189" t="s">
        <v>244</v>
      </c>
      <c r="K40" s="189" t="s">
        <v>244</v>
      </c>
      <c r="L40" s="189" t="s">
        <v>244</v>
      </c>
      <c r="M40" s="190" t="s">
        <v>11</v>
      </c>
      <c r="N40" s="184"/>
    </row>
    <row r="41" spans="1:14" ht="15" x14ac:dyDescent="0.25">
      <c r="A41" s="185"/>
      <c r="B41" s="186" t="s">
        <v>243</v>
      </c>
      <c r="C41" s="186" t="s">
        <v>11</v>
      </c>
      <c r="D41" s="197">
        <v>485656.75</v>
      </c>
      <c r="E41" s="197">
        <v>4033365.26</v>
      </c>
      <c r="F41" s="198">
        <v>9600</v>
      </c>
      <c r="G41" s="189" t="s">
        <v>244</v>
      </c>
      <c r="H41" s="189" t="s">
        <v>244</v>
      </c>
      <c r="I41" s="189" t="s">
        <v>244</v>
      </c>
      <c r="J41" s="189" t="s">
        <v>169</v>
      </c>
      <c r="K41" s="189" t="s">
        <v>244</v>
      </c>
      <c r="L41" s="189" t="s">
        <v>244</v>
      </c>
      <c r="M41" s="190" t="s">
        <v>11</v>
      </c>
      <c r="N41" s="184"/>
    </row>
    <row r="42" spans="1:14" ht="15" x14ac:dyDescent="0.25">
      <c r="A42" s="185"/>
      <c r="B42" s="186" t="s">
        <v>203</v>
      </c>
      <c r="C42" s="186" t="s">
        <v>13</v>
      </c>
      <c r="D42" s="187">
        <v>487608</v>
      </c>
      <c r="E42" s="187">
        <v>4037237</v>
      </c>
      <c r="F42" s="188">
        <v>11070</v>
      </c>
      <c r="G42" s="189" t="s">
        <v>244</v>
      </c>
      <c r="H42" s="189" t="s">
        <v>244</v>
      </c>
      <c r="I42" s="189" t="s">
        <v>244</v>
      </c>
      <c r="J42" s="189" t="s">
        <v>169</v>
      </c>
      <c r="K42" s="189" t="s">
        <v>169</v>
      </c>
      <c r="L42" s="189" t="s">
        <v>244</v>
      </c>
      <c r="M42" s="190" t="s">
        <v>11</v>
      </c>
      <c r="N42" s="184"/>
    </row>
    <row r="43" spans="1:14" ht="15" x14ac:dyDescent="0.25">
      <c r="A43" s="185"/>
      <c r="B43" s="186" t="s">
        <v>74</v>
      </c>
      <c r="C43" s="186" t="s">
        <v>12</v>
      </c>
      <c r="D43" s="187">
        <v>494194</v>
      </c>
      <c r="E43" s="187">
        <v>4058460</v>
      </c>
      <c r="F43" s="188">
        <v>7731</v>
      </c>
      <c r="G43" s="189" t="s">
        <v>244</v>
      </c>
      <c r="H43" s="189" t="s">
        <v>244</v>
      </c>
      <c r="I43" s="189" t="s">
        <v>244</v>
      </c>
      <c r="J43" s="189" t="s">
        <v>169</v>
      </c>
      <c r="K43" s="189" t="s">
        <v>244</v>
      </c>
      <c r="L43" s="189" t="s">
        <v>244</v>
      </c>
      <c r="M43" s="190" t="s">
        <v>12</v>
      </c>
      <c r="N43" s="184"/>
    </row>
    <row r="44" spans="1:14" ht="15" x14ac:dyDescent="0.25">
      <c r="A44" s="185"/>
      <c r="B44" s="186" t="s">
        <v>75</v>
      </c>
      <c r="C44" s="186" t="s">
        <v>12</v>
      </c>
      <c r="D44" s="187">
        <v>481903</v>
      </c>
      <c r="E44" s="187">
        <v>4055101</v>
      </c>
      <c r="F44" s="188">
        <v>10530</v>
      </c>
      <c r="G44" s="189" t="s">
        <v>244</v>
      </c>
      <c r="H44" s="189" t="s">
        <v>244</v>
      </c>
      <c r="I44" s="189" t="s">
        <v>244</v>
      </c>
      <c r="J44" s="189" t="s">
        <v>169</v>
      </c>
      <c r="K44" s="189" t="s">
        <v>244</v>
      </c>
      <c r="L44" s="189" t="s">
        <v>244</v>
      </c>
      <c r="M44" s="190" t="s">
        <v>12</v>
      </c>
      <c r="N44" s="184"/>
    </row>
    <row r="45" spans="1:14" ht="15" x14ac:dyDescent="0.25">
      <c r="A45" s="185"/>
      <c r="B45" s="186" t="s">
        <v>139</v>
      </c>
      <c r="C45" s="186" t="s">
        <v>12</v>
      </c>
      <c r="D45" s="187">
        <v>500105</v>
      </c>
      <c r="E45" s="187">
        <v>4056884</v>
      </c>
      <c r="F45" s="188">
        <v>7373</v>
      </c>
      <c r="G45" s="189" t="s">
        <v>244</v>
      </c>
      <c r="H45" s="189" t="s">
        <v>244</v>
      </c>
      <c r="I45" s="189" t="s">
        <v>244</v>
      </c>
      <c r="J45" s="189" t="s">
        <v>169</v>
      </c>
      <c r="K45" s="189" t="s">
        <v>244</v>
      </c>
      <c r="L45" s="189" t="s">
        <v>244</v>
      </c>
      <c r="M45" s="190" t="s">
        <v>12</v>
      </c>
      <c r="N45" s="184"/>
    </row>
    <row r="46" spans="1:14" ht="15" x14ac:dyDescent="0.25">
      <c r="A46" s="649">
        <v>2023</v>
      </c>
      <c r="B46" s="650" t="s">
        <v>453</v>
      </c>
      <c r="C46" s="650" t="s">
        <v>12</v>
      </c>
      <c r="D46" s="660">
        <v>500561.82</v>
      </c>
      <c r="E46" s="660">
        <v>4054185.0869999998</v>
      </c>
      <c r="F46" s="661">
        <v>7560.52</v>
      </c>
      <c r="G46" s="651" t="s">
        <v>244</v>
      </c>
      <c r="H46" s="651" t="s">
        <v>244</v>
      </c>
      <c r="I46" s="651" t="s">
        <v>244</v>
      </c>
      <c r="J46" s="651" t="s">
        <v>169</v>
      </c>
      <c r="K46" s="651" t="s">
        <v>244</v>
      </c>
      <c r="L46" s="651" t="s">
        <v>244</v>
      </c>
      <c r="M46" s="652" t="s">
        <v>12</v>
      </c>
      <c r="N46" s="184"/>
    </row>
    <row r="47" spans="1:14" ht="15" x14ac:dyDescent="0.25">
      <c r="A47" s="185"/>
      <c r="B47" s="186" t="s">
        <v>176</v>
      </c>
      <c r="C47" s="186" t="s">
        <v>11</v>
      </c>
      <c r="D47" s="187">
        <v>494334</v>
      </c>
      <c r="E47" s="187">
        <v>4024631</v>
      </c>
      <c r="F47" s="188">
        <v>8058</v>
      </c>
      <c r="G47" s="189" t="s">
        <v>244</v>
      </c>
      <c r="H47" s="189" t="s">
        <v>244</v>
      </c>
      <c r="I47" s="189" t="s">
        <v>244</v>
      </c>
      <c r="J47" s="189" t="s">
        <v>169</v>
      </c>
      <c r="K47" s="189" t="s">
        <v>244</v>
      </c>
      <c r="L47" s="189" t="s">
        <v>244</v>
      </c>
      <c r="M47" s="190" t="s">
        <v>11</v>
      </c>
      <c r="N47" s="184"/>
    </row>
    <row r="48" spans="1:14" ht="15" x14ac:dyDescent="0.25">
      <c r="A48" s="185"/>
      <c r="B48" s="186" t="s">
        <v>76</v>
      </c>
      <c r="C48" s="186" t="s">
        <v>11</v>
      </c>
      <c r="D48" s="187">
        <v>495609</v>
      </c>
      <c r="E48" s="187">
        <v>4028935</v>
      </c>
      <c r="F48" s="188">
        <v>8398</v>
      </c>
      <c r="G48" s="189" t="s">
        <v>244</v>
      </c>
      <c r="H48" s="189" t="s">
        <v>244</v>
      </c>
      <c r="I48" s="189" t="s">
        <v>169</v>
      </c>
      <c r="J48" s="189" t="s">
        <v>244</v>
      </c>
      <c r="K48" s="189" t="s">
        <v>244</v>
      </c>
      <c r="L48" s="189" t="s">
        <v>244</v>
      </c>
      <c r="M48" s="190" t="s">
        <v>11</v>
      </c>
      <c r="N48" s="184"/>
    </row>
    <row r="49" spans="1:14" ht="15" x14ac:dyDescent="0.25">
      <c r="A49" s="185"/>
      <c r="B49" s="186" t="s">
        <v>77</v>
      </c>
      <c r="C49" s="186" t="s">
        <v>11</v>
      </c>
      <c r="D49" s="187">
        <v>486794</v>
      </c>
      <c r="E49" s="187">
        <v>4031067</v>
      </c>
      <c r="F49" s="198">
        <v>9360</v>
      </c>
      <c r="G49" s="189" t="s">
        <v>244</v>
      </c>
      <c r="H49" s="189" t="s">
        <v>244</v>
      </c>
      <c r="I49" s="189" t="s">
        <v>169</v>
      </c>
      <c r="J49" s="189" t="s">
        <v>244</v>
      </c>
      <c r="K49" s="189" t="s">
        <v>244</v>
      </c>
      <c r="L49" s="189" t="s">
        <v>244</v>
      </c>
      <c r="M49" s="190" t="s">
        <v>11</v>
      </c>
      <c r="N49" s="184"/>
    </row>
    <row r="50" spans="1:14" ht="15" x14ac:dyDescent="0.25">
      <c r="A50" s="185"/>
      <c r="B50" s="186" t="s">
        <v>78</v>
      </c>
      <c r="C50" s="186" t="s">
        <v>13</v>
      </c>
      <c r="D50" s="187">
        <v>489568</v>
      </c>
      <c r="E50" s="187">
        <v>4037662</v>
      </c>
      <c r="F50" s="188">
        <v>9302</v>
      </c>
      <c r="G50" s="189" t="s">
        <v>244</v>
      </c>
      <c r="H50" s="189" t="s">
        <v>244</v>
      </c>
      <c r="I50" s="189" t="s">
        <v>169</v>
      </c>
      <c r="J50" s="189" t="s">
        <v>244</v>
      </c>
      <c r="K50" s="189" t="s">
        <v>244</v>
      </c>
      <c r="L50" s="189" t="s">
        <v>169</v>
      </c>
      <c r="M50" s="190" t="s">
        <v>11</v>
      </c>
      <c r="N50" s="184"/>
    </row>
    <row r="51" spans="1:14" ht="15" x14ac:dyDescent="0.25">
      <c r="A51" s="185"/>
      <c r="B51" s="186" t="s">
        <v>79</v>
      </c>
      <c r="C51" s="186" t="s">
        <v>12</v>
      </c>
      <c r="D51" s="187">
        <v>492056</v>
      </c>
      <c r="E51" s="187">
        <v>4059215</v>
      </c>
      <c r="F51" s="188">
        <v>7896</v>
      </c>
      <c r="G51" s="189" t="s">
        <v>244</v>
      </c>
      <c r="H51" s="189" t="s">
        <v>244</v>
      </c>
      <c r="I51" s="189" t="s">
        <v>169</v>
      </c>
      <c r="J51" s="189" t="s">
        <v>244</v>
      </c>
      <c r="K51" s="189" t="s">
        <v>244</v>
      </c>
      <c r="L51" s="189" t="s">
        <v>244</v>
      </c>
      <c r="M51" s="190" t="s">
        <v>12</v>
      </c>
      <c r="N51" s="184"/>
    </row>
    <row r="52" spans="1:14" ht="15" x14ac:dyDescent="0.25">
      <c r="A52" s="191">
        <v>2019</v>
      </c>
      <c r="B52" s="192" t="s">
        <v>304</v>
      </c>
      <c r="C52" s="192" t="s">
        <v>11</v>
      </c>
      <c r="D52" s="193">
        <v>491347.09</v>
      </c>
      <c r="E52" s="193">
        <v>4025665.43</v>
      </c>
      <c r="F52" s="194">
        <v>9453</v>
      </c>
      <c r="G52" s="195"/>
      <c r="H52" s="195"/>
      <c r="I52" s="195" t="s">
        <v>244</v>
      </c>
      <c r="J52" s="195" t="s">
        <v>169</v>
      </c>
      <c r="K52" s="195" t="s">
        <v>244</v>
      </c>
      <c r="L52" s="195"/>
      <c r="M52" s="196" t="s">
        <v>11</v>
      </c>
      <c r="N52" s="184"/>
    </row>
    <row r="53" spans="1:14" ht="15" x14ac:dyDescent="0.25">
      <c r="A53" s="185"/>
      <c r="B53" s="186" t="s">
        <v>80</v>
      </c>
      <c r="C53" s="186" t="s">
        <v>12</v>
      </c>
      <c r="D53" s="187">
        <v>500102</v>
      </c>
      <c r="E53" s="187">
        <v>4046769</v>
      </c>
      <c r="F53" s="188">
        <v>7232</v>
      </c>
      <c r="G53" s="189" t="s">
        <v>244</v>
      </c>
      <c r="H53" s="189" t="s">
        <v>244</v>
      </c>
      <c r="I53" s="189" t="s">
        <v>169</v>
      </c>
      <c r="J53" s="189" t="s">
        <v>244</v>
      </c>
      <c r="K53" s="189" t="s">
        <v>244</v>
      </c>
      <c r="L53" s="189" t="s">
        <v>169</v>
      </c>
      <c r="M53" s="190" t="s">
        <v>12</v>
      </c>
      <c r="N53" s="184"/>
    </row>
    <row r="54" spans="1:14" ht="15" x14ac:dyDescent="0.25">
      <c r="A54" s="185"/>
      <c r="B54" s="186" t="s">
        <v>138</v>
      </c>
      <c r="C54" s="186" t="s">
        <v>12</v>
      </c>
      <c r="D54" s="197">
        <v>495546.39</v>
      </c>
      <c r="E54" s="197">
        <v>4052340.91</v>
      </c>
      <c r="F54" s="198">
        <v>7320</v>
      </c>
      <c r="G54" s="189" t="s">
        <v>244</v>
      </c>
      <c r="H54" s="189" t="s">
        <v>244</v>
      </c>
      <c r="I54" s="189" t="s">
        <v>244</v>
      </c>
      <c r="J54" s="189" t="s">
        <v>169</v>
      </c>
      <c r="K54" s="189" t="s">
        <v>244</v>
      </c>
      <c r="L54" s="189" t="s">
        <v>244</v>
      </c>
      <c r="M54" s="190" t="s">
        <v>12</v>
      </c>
      <c r="N54" s="184"/>
    </row>
    <row r="55" spans="1:14" ht="15" x14ac:dyDescent="0.25">
      <c r="A55" s="185"/>
      <c r="B55" s="186" t="s">
        <v>247</v>
      </c>
      <c r="C55" s="186" t="s">
        <v>12</v>
      </c>
      <c r="D55" s="187">
        <v>504413</v>
      </c>
      <c r="E55" s="187">
        <v>4044305</v>
      </c>
      <c r="F55" s="188">
        <v>6758</v>
      </c>
      <c r="G55" s="189" t="s">
        <v>244</v>
      </c>
      <c r="H55" s="189" t="s">
        <v>244</v>
      </c>
      <c r="I55" s="189" t="s">
        <v>244</v>
      </c>
      <c r="J55" s="189" t="s">
        <v>169</v>
      </c>
      <c r="K55" s="189" t="s">
        <v>244</v>
      </c>
      <c r="L55" s="189" t="s">
        <v>244</v>
      </c>
      <c r="M55" s="190" t="s">
        <v>12</v>
      </c>
      <c r="N55" s="184"/>
    </row>
    <row r="56" spans="1:14" ht="15" x14ac:dyDescent="0.25">
      <c r="A56" s="191">
        <v>2019</v>
      </c>
      <c r="B56" s="192" t="s">
        <v>308</v>
      </c>
      <c r="C56" s="192" t="s">
        <v>12</v>
      </c>
      <c r="D56" s="193">
        <v>495667.97</v>
      </c>
      <c r="E56" s="193">
        <v>4051680.85</v>
      </c>
      <c r="F56" s="194">
        <v>7967</v>
      </c>
      <c r="G56" s="195"/>
      <c r="H56" s="195"/>
      <c r="I56" s="195" t="s">
        <v>244</v>
      </c>
      <c r="J56" s="195" t="s">
        <v>169</v>
      </c>
      <c r="K56" s="195" t="s">
        <v>169</v>
      </c>
      <c r="L56" s="195"/>
      <c r="M56" s="196" t="s">
        <v>12</v>
      </c>
      <c r="N56" s="184"/>
    </row>
    <row r="57" spans="1:14" ht="15" x14ac:dyDescent="0.25">
      <c r="A57" s="185"/>
      <c r="B57" s="186" t="s">
        <v>201</v>
      </c>
      <c r="C57" s="186" t="s">
        <v>13</v>
      </c>
      <c r="D57" s="187">
        <v>497685</v>
      </c>
      <c r="E57" s="187">
        <v>4040333</v>
      </c>
      <c r="F57" s="198">
        <v>8280</v>
      </c>
      <c r="G57" s="189" t="s">
        <v>244</v>
      </c>
      <c r="H57" s="189" t="s">
        <v>244</v>
      </c>
      <c r="I57" s="189" t="s">
        <v>244</v>
      </c>
      <c r="J57" s="189" t="s">
        <v>169</v>
      </c>
      <c r="K57" s="189" t="s">
        <v>244</v>
      </c>
      <c r="L57" s="189" t="s">
        <v>244</v>
      </c>
      <c r="M57" s="190" t="s">
        <v>11</v>
      </c>
      <c r="N57" s="184"/>
    </row>
    <row r="58" spans="1:14" ht="15" x14ac:dyDescent="0.25">
      <c r="A58" s="185"/>
      <c r="B58" s="186" t="s">
        <v>127</v>
      </c>
      <c r="C58" s="186" t="s">
        <v>13</v>
      </c>
      <c r="D58" s="187">
        <v>495433</v>
      </c>
      <c r="E58" s="187">
        <v>4042810</v>
      </c>
      <c r="F58" s="188">
        <v>8324</v>
      </c>
      <c r="G58" s="189" t="s">
        <v>244</v>
      </c>
      <c r="H58" s="189" t="s">
        <v>244</v>
      </c>
      <c r="I58" s="189" t="s">
        <v>244</v>
      </c>
      <c r="J58" s="189" t="s">
        <v>169</v>
      </c>
      <c r="K58" s="189" t="s">
        <v>244</v>
      </c>
      <c r="L58" s="189" t="s">
        <v>244</v>
      </c>
      <c r="M58" s="190" t="s">
        <v>11</v>
      </c>
      <c r="N58" s="184"/>
    </row>
    <row r="59" spans="1:14" ht="15" x14ac:dyDescent="0.25">
      <c r="A59" s="185"/>
      <c r="B59" s="186" t="s">
        <v>258</v>
      </c>
      <c r="C59" s="186" t="s">
        <v>11</v>
      </c>
      <c r="D59" s="197">
        <v>494670</v>
      </c>
      <c r="E59" s="197">
        <v>4037285</v>
      </c>
      <c r="F59" s="198">
        <v>7720</v>
      </c>
      <c r="G59" s="189" t="s">
        <v>244</v>
      </c>
      <c r="H59" s="189" t="s">
        <v>244</v>
      </c>
      <c r="I59" s="189" t="s">
        <v>244</v>
      </c>
      <c r="J59" s="189" t="s">
        <v>169</v>
      </c>
      <c r="K59" s="189" t="s">
        <v>169</v>
      </c>
      <c r="L59" s="189" t="s">
        <v>244</v>
      </c>
      <c r="M59" s="190" t="s">
        <v>11</v>
      </c>
      <c r="N59" s="184"/>
    </row>
    <row r="60" spans="1:14" ht="15" x14ac:dyDescent="0.25">
      <c r="A60" s="185"/>
      <c r="B60" s="186" t="s">
        <v>298</v>
      </c>
      <c r="C60" s="186" t="s">
        <v>13</v>
      </c>
      <c r="D60" s="187">
        <v>494932</v>
      </c>
      <c r="E60" s="187">
        <v>4042281</v>
      </c>
      <c r="F60" s="188">
        <v>8515</v>
      </c>
      <c r="G60" s="189" t="s">
        <v>244</v>
      </c>
      <c r="H60" s="189" t="s">
        <v>244</v>
      </c>
      <c r="I60" s="189" t="s">
        <v>244</v>
      </c>
      <c r="J60" s="189" t="s">
        <v>169</v>
      </c>
      <c r="K60" s="189" t="s">
        <v>169</v>
      </c>
      <c r="L60" s="189" t="s">
        <v>244</v>
      </c>
      <c r="M60" s="190" t="s">
        <v>11</v>
      </c>
      <c r="N60" s="184"/>
    </row>
    <row r="61" spans="1:14" ht="15" x14ac:dyDescent="0.25">
      <c r="A61" s="200">
        <v>2020</v>
      </c>
      <c r="B61" s="201" t="s">
        <v>329</v>
      </c>
      <c r="C61" s="201" t="s">
        <v>11</v>
      </c>
      <c r="D61" s="202">
        <v>488258.43</v>
      </c>
      <c r="E61" s="202">
        <v>4036088.88</v>
      </c>
      <c r="F61" s="203">
        <v>10509</v>
      </c>
      <c r="G61" s="204"/>
      <c r="H61" s="204"/>
      <c r="I61" s="204" t="s">
        <v>244</v>
      </c>
      <c r="J61" s="204" t="s">
        <v>169</v>
      </c>
      <c r="K61" s="204" t="s">
        <v>169</v>
      </c>
      <c r="L61" s="204"/>
      <c r="M61" s="205" t="s">
        <v>11</v>
      </c>
      <c r="N61" s="184"/>
    </row>
    <row r="62" spans="1:14" ht="15" x14ac:dyDescent="0.25">
      <c r="A62" s="185"/>
      <c r="B62" s="186" t="s">
        <v>81</v>
      </c>
      <c r="C62" s="186" t="s">
        <v>12</v>
      </c>
      <c r="D62" s="187">
        <v>492424</v>
      </c>
      <c r="E62" s="187">
        <v>4051874</v>
      </c>
      <c r="F62" s="188">
        <v>8496</v>
      </c>
      <c r="G62" s="189" t="s">
        <v>244</v>
      </c>
      <c r="H62" s="189" t="s">
        <v>244</v>
      </c>
      <c r="I62" s="189" t="s">
        <v>244</v>
      </c>
      <c r="J62" s="189" t="s">
        <v>169</v>
      </c>
      <c r="K62" s="189" t="s">
        <v>244</v>
      </c>
      <c r="L62" s="189" t="s">
        <v>244</v>
      </c>
      <c r="M62" s="190" t="s">
        <v>12</v>
      </c>
      <c r="N62" s="184"/>
    </row>
    <row r="63" spans="1:14" ht="15" x14ac:dyDescent="0.25">
      <c r="A63" s="185"/>
      <c r="B63" s="186" t="s">
        <v>82</v>
      </c>
      <c r="C63" s="186" t="s">
        <v>12</v>
      </c>
      <c r="D63" s="187">
        <v>484643</v>
      </c>
      <c r="E63" s="187">
        <v>4053169</v>
      </c>
      <c r="F63" s="188">
        <v>9373</v>
      </c>
      <c r="G63" s="189" t="s">
        <v>244</v>
      </c>
      <c r="H63" s="189" t="s">
        <v>244</v>
      </c>
      <c r="I63" s="189" t="s">
        <v>244</v>
      </c>
      <c r="J63" s="189" t="s">
        <v>169</v>
      </c>
      <c r="K63" s="189" t="s">
        <v>244</v>
      </c>
      <c r="L63" s="189" t="s">
        <v>244</v>
      </c>
      <c r="M63" s="190" t="s">
        <v>12</v>
      </c>
      <c r="N63" s="184"/>
    </row>
    <row r="64" spans="1:14" ht="15" x14ac:dyDescent="0.25">
      <c r="A64" s="185"/>
      <c r="B64" s="186" t="s">
        <v>39</v>
      </c>
      <c r="C64" s="186" t="s">
        <v>11</v>
      </c>
      <c r="D64" s="187">
        <v>490787</v>
      </c>
      <c r="E64" s="187">
        <v>4026964</v>
      </c>
      <c r="F64" s="188">
        <v>8564</v>
      </c>
      <c r="G64" s="189" t="s">
        <v>244</v>
      </c>
      <c r="H64" s="189" t="s">
        <v>244</v>
      </c>
      <c r="I64" s="930" t="s">
        <v>458</v>
      </c>
      <c r="J64" s="189" t="s">
        <v>244</v>
      </c>
      <c r="K64" s="189" t="s">
        <v>244</v>
      </c>
      <c r="L64" s="189" t="s">
        <v>244</v>
      </c>
      <c r="M64" s="190" t="s">
        <v>11</v>
      </c>
      <c r="N64" s="184" t="s">
        <v>547</v>
      </c>
    </row>
    <row r="65" spans="1:14" ht="15" x14ac:dyDescent="0.25">
      <c r="A65" s="185"/>
      <c r="B65" s="186" t="s">
        <v>83</v>
      </c>
      <c r="C65" s="186" t="s">
        <v>12</v>
      </c>
      <c r="D65" s="187">
        <v>492186</v>
      </c>
      <c r="E65" s="187">
        <v>4053281</v>
      </c>
      <c r="F65" s="188">
        <v>7715</v>
      </c>
      <c r="G65" s="189" t="s">
        <v>244</v>
      </c>
      <c r="H65" s="189" t="s">
        <v>244</v>
      </c>
      <c r="I65" s="189" t="s">
        <v>244</v>
      </c>
      <c r="J65" s="189" t="s">
        <v>169</v>
      </c>
      <c r="K65" s="189" t="s">
        <v>244</v>
      </c>
      <c r="L65" s="189" t="s">
        <v>244</v>
      </c>
      <c r="M65" s="190" t="s">
        <v>12</v>
      </c>
      <c r="N65" s="184"/>
    </row>
    <row r="66" spans="1:14" ht="15" x14ac:dyDescent="0.25">
      <c r="A66" s="185"/>
      <c r="B66" s="186" t="s">
        <v>84</v>
      </c>
      <c r="C66" s="186" t="s">
        <v>12</v>
      </c>
      <c r="D66" s="187">
        <v>483471</v>
      </c>
      <c r="E66" s="187">
        <v>4054519</v>
      </c>
      <c r="F66" s="188">
        <v>9635</v>
      </c>
      <c r="G66" s="189" t="s">
        <v>244</v>
      </c>
      <c r="H66" s="189" t="s">
        <v>244</v>
      </c>
      <c r="I66" s="189" t="s">
        <v>169</v>
      </c>
      <c r="J66" s="189" t="s">
        <v>244</v>
      </c>
      <c r="K66" s="189" t="s">
        <v>244</v>
      </c>
      <c r="L66" s="189" t="s">
        <v>244</v>
      </c>
      <c r="M66" s="190" t="s">
        <v>12</v>
      </c>
      <c r="N66" s="184"/>
    </row>
    <row r="67" spans="1:14" ht="15" x14ac:dyDescent="0.25">
      <c r="A67" s="206">
        <v>2019</v>
      </c>
      <c r="B67" s="207" t="s">
        <v>299</v>
      </c>
      <c r="C67" s="207" t="s">
        <v>11</v>
      </c>
      <c r="D67" s="208">
        <v>483495.8</v>
      </c>
      <c r="E67" s="208">
        <v>4027944.67</v>
      </c>
      <c r="F67" s="209">
        <v>9855</v>
      </c>
      <c r="G67" s="210"/>
      <c r="H67" s="210"/>
      <c r="I67" s="210" t="s">
        <v>169</v>
      </c>
      <c r="J67" s="210" t="s">
        <v>244</v>
      </c>
      <c r="K67" s="210" t="s">
        <v>244</v>
      </c>
      <c r="L67" s="210"/>
      <c r="M67" s="211" t="s">
        <v>11</v>
      </c>
      <c r="N67" s="184"/>
    </row>
    <row r="68" spans="1:14" ht="15" x14ac:dyDescent="0.25">
      <c r="A68" s="185"/>
      <c r="B68" s="186" t="s">
        <v>130</v>
      </c>
      <c r="C68" s="186" t="s">
        <v>10</v>
      </c>
      <c r="D68" s="197">
        <v>483891.64</v>
      </c>
      <c r="E68" s="197">
        <v>4061375.92</v>
      </c>
      <c r="F68" s="198">
        <v>8300</v>
      </c>
      <c r="G68" s="189" t="s">
        <v>244</v>
      </c>
      <c r="H68" s="189" t="s">
        <v>244</v>
      </c>
      <c r="I68" s="189" t="s">
        <v>244</v>
      </c>
      <c r="J68" s="189" t="s">
        <v>169</v>
      </c>
      <c r="K68" s="189" t="s">
        <v>244</v>
      </c>
      <c r="L68" s="189" t="s">
        <v>244</v>
      </c>
      <c r="M68" s="190" t="s">
        <v>12</v>
      </c>
      <c r="N68" s="184"/>
    </row>
    <row r="69" spans="1:14" ht="15" x14ac:dyDescent="0.25">
      <c r="A69" s="185"/>
      <c r="B69" s="186" t="s">
        <v>85</v>
      </c>
      <c r="C69" s="186" t="s">
        <v>13</v>
      </c>
      <c r="D69" s="187">
        <v>498402</v>
      </c>
      <c r="E69" s="187">
        <v>4041184</v>
      </c>
      <c r="F69" s="188">
        <v>7550</v>
      </c>
      <c r="G69" s="189" t="s">
        <v>244</v>
      </c>
      <c r="H69" s="189" t="s">
        <v>244</v>
      </c>
      <c r="I69" s="189" t="s">
        <v>169</v>
      </c>
      <c r="J69" s="189" t="s">
        <v>244</v>
      </c>
      <c r="K69" s="189" t="s">
        <v>244</v>
      </c>
      <c r="L69" s="189" t="s">
        <v>244</v>
      </c>
      <c r="M69" s="190" t="s">
        <v>11</v>
      </c>
      <c r="N69" s="184"/>
    </row>
    <row r="70" spans="1:14" ht="15" x14ac:dyDescent="0.25">
      <c r="A70" s="185"/>
      <c r="B70" s="186" t="s">
        <v>287</v>
      </c>
      <c r="C70" s="186" t="s">
        <v>13</v>
      </c>
      <c r="D70" s="197">
        <v>494791</v>
      </c>
      <c r="E70" s="197">
        <v>4046280</v>
      </c>
      <c r="F70" s="198">
        <v>7586</v>
      </c>
      <c r="G70" s="189" t="s">
        <v>244</v>
      </c>
      <c r="H70" s="189" t="s">
        <v>244</v>
      </c>
      <c r="I70" s="189" t="s">
        <v>244</v>
      </c>
      <c r="J70" s="189" t="s">
        <v>169</v>
      </c>
      <c r="K70" s="189" t="s">
        <v>169</v>
      </c>
      <c r="L70" s="189" t="s">
        <v>244</v>
      </c>
      <c r="M70" s="190" t="s">
        <v>11</v>
      </c>
      <c r="N70" s="184"/>
    </row>
    <row r="71" spans="1:14" ht="15" x14ac:dyDescent="0.25">
      <c r="A71" s="185"/>
      <c r="B71" s="186" t="s">
        <v>40</v>
      </c>
      <c r="C71" s="186" t="s">
        <v>12</v>
      </c>
      <c r="D71" s="187">
        <v>489268</v>
      </c>
      <c r="E71" s="187">
        <v>4051641</v>
      </c>
      <c r="F71" s="188">
        <v>8754</v>
      </c>
      <c r="G71" s="189" t="s">
        <v>244</v>
      </c>
      <c r="H71" s="189" t="s">
        <v>244</v>
      </c>
      <c r="I71" s="189" t="s">
        <v>169</v>
      </c>
      <c r="J71" s="189" t="s">
        <v>244</v>
      </c>
      <c r="K71" s="189" t="s">
        <v>244</v>
      </c>
      <c r="L71" s="189" t="s">
        <v>244</v>
      </c>
      <c r="M71" s="190" t="s">
        <v>12</v>
      </c>
      <c r="N71" s="184"/>
    </row>
    <row r="72" spans="1:14" ht="15" x14ac:dyDescent="0.25">
      <c r="A72" s="259">
        <v>2021</v>
      </c>
      <c r="B72" s="260" t="s">
        <v>352</v>
      </c>
      <c r="C72" s="260" t="s">
        <v>11</v>
      </c>
      <c r="D72" s="261">
        <v>498379.26270000002</v>
      </c>
      <c r="E72" s="261">
        <v>4035918.4079</v>
      </c>
      <c r="F72" s="262">
        <v>7085</v>
      </c>
      <c r="G72" s="263"/>
      <c r="H72" s="263"/>
      <c r="I72" s="263" t="s">
        <v>244</v>
      </c>
      <c r="J72" s="263" t="s">
        <v>169</v>
      </c>
      <c r="K72" s="263" t="s">
        <v>169</v>
      </c>
      <c r="L72" s="263"/>
      <c r="M72" s="264" t="s">
        <v>11</v>
      </c>
      <c r="N72" s="184"/>
    </row>
    <row r="73" spans="1:14" ht="15" x14ac:dyDescent="0.25">
      <c r="A73" s="185"/>
      <c r="B73" s="186" t="s">
        <v>286</v>
      </c>
      <c r="C73" s="186" t="s">
        <v>12</v>
      </c>
      <c r="D73" s="187">
        <v>506048</v>
      </c>
      <c r="E73" s="187">
        <v>4049722</v>
      </c>
      <c r="F73" s="188">
        <v>6837</v>
      </c>
      <c r="G73" s="189" t="s">
        <v>244</v>
      </c>
      <c r="H73" s="189" t="s">
        <v>244</v>
      </c>
      <c r="I73" s="189" t="s">
        <v>244</v>
      </c>
      <c r="J73" s="189" t="s">
        <v>169</v>
      </c>
      <c r="K73" s="189" t="s">
        <v>244</v>
      </c>
      <c r="L73" s="189" t="s">
        <v>244</v>
      </c>
      <c r="M73" s="190" t="s">
        <v>12</v>
      </c>
      <c r="N73" s="184"/>
    </row>
    <row r="74" spans="1:14" ht="15" x14ac:dyDescent="0.25">
      <c r="A74" s="200">
        <v>2020</v>
      </c>
      <c r="B74" s="201" t="s">
        <v>328</v>
      </c>
      <c r="C74" s="201" t="s">
        <v>11</v>
      </c>
      <c r="D74" s="202">
        <v>498970.27</v>
      </c>
      <c r="E74" s="202">
        <v>4030120</v>
      </c>
      <c r="F74" s="203">
        <v>7465</v>
      </c>
      <c r="G74" s="204" t="s">
        <v>244</v>
      </c>
      <c r="H74" s="204" t="s">
        <v>244</v>
      </c>
      <c r="I74" s="204" t="s">
        <v>244</v>
      </c>
      <c r="J74" s="204" t="s">
        <v>169</v>
      </c>
      <c r="K74" s="204" t="s">
        <v>169</v>
      </c>
      <c r="L74" s="204" t="s">
        <v>244</v>
      </c>
      <c r="M74" s="205" t="s">
        <v>11</v>
      </c>
      <c r="N74" s="184"/>
    </row>
    <row r="75" spans="1:14" ht="15" x14ac:dyDescent="0.25">
      <c r="A75" s="185"/>
      <c r="B75" s="186" t="s">
        <v>265</v>
      </c>
      <c r="C75" s="186" t="s">
        <v>12</v>
      </c>
      <c r="D75" s="197">
        <v>494604</v>
      </c>
      <c r="E75" s="197">
        <v>4057016</v>
      </c>
      <c r="F75" s="198">
        <v>8128</v>
      </c>
      <c r="G75" s="189" t="s">
        <v>244</v>
      </c>
      <c r="H75" s="189" t="s">
        <v>244</v>
      </c>
      <c r="I75" s="189" t="s">
        <v>244</v>
      </c>
      <c r="J75" s="189" t="s">
        <v>169</v>
      </c>
      <c r="K75" s="189" t="s">
        <v>244</v>
      </c>
      <c r="L75" s="189" t="s">
        <v>244</v>
      </c>
      <c r="M75" s="190" t="s">
        <v>12</v>
      </c>
      <c r="N75" s="184"/>
    </row>
    <row r="76" spans="1:14" ht="15" x14ac:dyDescent="0.25">
      <c r="A76" s="185"/>
      <c r="B76" s="186" t="s">
        <v>182</v>
      </c>
      <c r="C76" s="186" t="s">
        <v>12</v>
      </c>
      <c r="D76" s="187">
        <v>502969</v>
      </c>
      <c r="E76" s="187">
        <v>4051149</v>
      </c>
      <c r="F76" s="188">
        <v>7157</v>
      </c>
      <c r="G76" s="189" t="s">
        <v>244</v>
      </c>
      <c r="H76" s="189" t="s">
        <v>244</v>
      </c>
      <c r="I76" s="189" t="s">
        <v>244</v>
      </c>
      <c r="J76" s="189" t="s">
        <v>169</v>
      </c>
      <c r="K76" s="189" t="s">
        <v>244</v>
      </c>
      <c r="L76" s="189" t="s">
        <v>244</v>
      </c>
      <c r="M76" s="190" t="s">
        <v>12</v>
      </c>
      <c r="N76" s="184"/>
    </row>
    <row r="77" spans="1:14" ht="15" x14ac:dyDescent="0.25">
      <c r="A77" s="185"/>
      <c r="B77" s="929" t="s">
        <v>41</v>
      </c>
      <c r="C77" s="186" t="s">
        <v>13</v>
      </c>
      <c r="D77" s="187">
        <v>494338</v>
      </c>
      <c r="E77" s="187">
        <v>4037841</v>
      </c>
      <c r="F77" s="188">
        <v>7776</v>
      </c>
      <c r="G77" s="189" t="s">
        <v>244</v>
      </c>
      <c r="H77" s="189" t="s">
        <v>244</v>
      </c>
      <c r="I77" s="930" t="s">
        <v>458</v>
      </c>
      <c r="J77" s="930" t="s">
        <v>8</v>
      </c>
      <c r="K77" s="189" t="s">
        <v>244</v>
      </c>
      <c r="L77" s="189" t="s">
        <v>244</v>
      </c>
      <c r="M77" s="190" t="s">
        <v>11</v>
      </c>
      <c r="N77" s="184" t="s">
        <v>546</v>
      </c>
    </row>
    <row r="78" spans="1:14" ht="15" x14ac:dyDescent="0.25">
      <c r="A78" s="185"/>
      <c r="B78" s="186" t="s">
        <v>86</v>
      </c>
      <c r="C78" s="186" t="s">
        <v>12</v>
      </c>
      <c r="D78" s="187">
        <v>500421</v>
      </c>
      <c r="E78" s="187">
        <v>4053139</v>
      </c>
      <c r="F78" s="188">
        <v>6979</v>
      </c>
      <c r="G78" s="189" t="s">
        <v>244</v>
      </c>
      <c r="H78" s="189" t="s">
        <v>244</v>
      </c>
      <c r="I78" s="189" t="s">
        <v>169</v>
      </c>
      <c r="J78" s="189" t="s">
        <v>244</v>
      </c>
      <c r="K78" s="189" t="s">
        <v>244</v>
      </c>
      <c r="L78" s="189" t="s">
        <v>169</v>
      </c>
      <c r="M78" s="190" t="s">
        <v>12</v>
      </c>
      <c r="N78" s="184"/>
    </row>
    <row r="79" spans="1:14" ht="15" x14ac:dyDescent="0.25">
      <c r="A79" s="185"/>
      <c r="B79" s="186" t="s">
        <v>131</v>
      </c>
      <c r="C79" s="186" t="s">
        <v>10</v>
      </c>
      <c r="D79" s="187">
        <v>486124</v>
      </c>
      <c r="E79" s="187">
        <v>4064630</v>
      </c>
      <c r="F79" s="188">
        <v>8571</v>
      </c>
      <c r="G79" s="189" t="s">
        <v>244</v>
      </c>
      <c r="H79" s="189" t="s">
        <v>244</v>
      </c>
      <c r="I79" s="189" t="s">
        <v>244</v>
      </c>
      <c r="J79" s="189" t="s">
        <v>169</v>
      </c>
      <c r="K79" s="189" t="s">
        <v>244</v>
      </c>
      <c r="L79" s="189" t="s">
        <v>244</v>
      </c>
      <c r="M79" s="190" t="s">
        <v>12</v>
      </c>
      <c r="N79" s="184"/>
    </row>
    <row r="80" spans="1:14" ht="15" x14ac:dyDescent="0.25">
      <c r="A80" s="185"/>
      <c r="B80" s="186" t="s">
        <v>252</v>
      </c>
      <c r="C80" s="186" t="s">
        <v>11</v>
      </c>
      <c r="D80" s="199">
        <v>506169.3798</v>
      </c>
      <c r="E80" s="199">
        <v>4024627.3322999999</v>
      </c>
      <c r="F80" s="212">
        <v>6466</v>
      </c>
      <c r="G80" s="189" t="s">
        <v>244</v>
      </c>
      <c r="H80" s="189" t="s">
        <v>244</v>
      </c>
      <c r="I80" s="189" t="s">
        <v>169</v>
      </c>
      <c r="J80" s="189" t="s">
        <v>244</v>
      </c>
      <c r="K80" s="189" t="s">
        <v>244</v>
      </c>
      <c r="L80" s="189" t="s">
        <v>244</v>
      </c>
      <c r="M80" s="190" t="s">
        <v>11</v>
      </c>
      <c r="N80" s="184"/>
    </row>
    <row r="81" spans="1:14" ht="15" x14ac:dyDescent="0.25">
      <c r="A81" s="185"/>
      <c r="B81" s="186" t="s">
        <v>133</v>
      </c>
      <c r="C81" s="186" t="s">
        <v>13</v>
      </c>
      <c r="D81" s="187">
        <v>490260</v>
      </c>
      <c r="E81" s="187">
        <v>4037034</v>
      </c>
      <c r="F81" s="188">
        <v>8957</v>
      </c>
      <c r="G81" s="189" t="s">
        <v>244</v>
      </c>
      <c r="H81" s="189" t="s">
        <v>244</v>
      </c>
      <c r="I81" s="189" t="s">
        <v>244</v>
      </c>
      <c r="J81" s="189" t="s">
        <v>169</v>
      </c>
      <c r="K81" s="189" t="s">
        <v>244</v>
      </c>
      <c r="L81" s="189" t="s">
        <v>244</v>
      </c>
      <c r="M81" s="190" t="s">
        <v>11</v>
      </c>
      <c r="N81" s="184"/>
    </row>
    <row r="82" spans="1:14" ht="15" x14ac:dyDescent="0.25">
      <c r="A82" s="259">
        <v>2021</v>
      </c>
      <c r="B82" s="260" t="s">
        <v>356</v>
      </c>
      <c r="C82" s="260" t="str">
        <f>C83</f>
        <v>South</v>
      </c>
      <c r="D82" s="261">
        <f t="shared" ref="D82:M82" si="3">D83</f>
        <v>498199.67</v>
      </c>
      <c r="E82" s="261">
        <f t="shared" si="3"/>
        <v>4023525.53</v>
      </c>
      <c r="F82" s="262">
        <f t="shared" si="3"/>
        <v>8125</v>
      </c>
      <c r="G82" s="263" t="str">
        <f t="shared" si="3"/>
        <v/>
      </c>
      <c r="H82" s="263" t="str">
        <f t="shared" si="3"/>
        <v/>
      </c>
      <c r="I82" s="263" t="s">
        <v>244</v>
      </c>
      <c r="J82" s="263" t="s">
        <v>169</v>
      </c>
      <c r="K82" s="263" t="s">
        <v>244</v>
      </c>
      <c r="L82" s="263" t="str">
        <f t="shared" si="3"/>
        <v/>
      </c>
      <c r="M82" s="264" t="str">
        <f t="shared" si="3"/>
        <v>South</v>
      </c>
      <c r="N82" s="184" t="s">
        <v>412</v>
      </c>
    </row>
    <row r="83" spans="1:14" ht="15" x14ac:dyDescent="0.25">
      <c r="A83" s="185"/>
      <c r="B83" s="186" t="s">
        <v>253</v>
      </c>
      <c r="C83" s="186" t="s">
        <v>11</v>
      </c>
      <c r="D83" s="199">
        <v>498199.67</v>
      </c>
      <c r="E83" s="199">
        <v>4023525.53</v>
      </c>
      <c r="F83" s="198">
        <v>8125</v>
      </c>
      <c r="G83" s="189" t="s">
        <v>244</v>
      </c>
      <c r="H83" s="189" t="s">
        <v>244</v>
      </c>
      <c r="I83" s="189" t="s">
        <v>244</v>
      </c>
      <c r="J83" s="189" t="s">
        <v>169</v>
      </c>
      <c r="K83" s="189" t="s">
        <v>244</v>
      </c>
      <c r="L83" s="189" t="s">
        <v>244</v>
      </c>
      <c r="M83" s="190" t="s">
        <v>11</v>
      </c>
      <c r="N83" s="184"/>
    </row>
    <row r="84" spans="1:14" ht="15" x14ac:dyDescent="0.25">
      <c r="A84" s="185"/>
      <c r="B84" s="186" t="s">
        <v>266</v>
      </c>
      <c r="C84" s="186" t="s">
        <v>10</v>
      </c>
      <c r="D84" s="197">
        <v>480285.29</v>
      </c>
      <c r="E84" s="197">
        <v>4072995.57</v>
      </c>
      <c r="F84" s="198">
        <v>10200.69</v>
      </c>
      <c r="G84" s="189" t="s">
        <v>244</v>
      </c>
      <c r="H84" s="189" t="s">
        <v>244</v>
      </c>
      <c r="I84" s="189" t="s">
        <v>244</v>
      </c>
      <c r="J84" s="189" t="s">
        <v>169</v>
      </c>
      <c r="K84" s="189" t="s">
        <v>244</v>
      </c>
      <c r="L84" s="189" t="s">
        <v>244</v>
      </c>
      <c r="M84" s="190" t="s">
        <v>12</v>
      </c>
      <c r="N84" s="184"/>
    </row>
    <row r="85" spans="1:14" ht="15" x14ac:dyDescent="0.25">
      <c r="A85" s="191">
        <v>2019</v>
      </c>
      <c r="B85" s="192" t="s">
        <v>306</v>
      </c>
      <c r="C85" s="192" t="s">
        <v>12</v>
      </c>
      <c r="D85" s="193">
        <v>505391.65330000001</v>
      </c>
      <c r="E85" s="193">
        <v>4049985.7826999999</v>
      </c>
      <c r="F85" s="194">
        <v>7258.9650430000002</v>
      </c>
      <c r="G85" s="195"/>
      <c r="H85" s="195"/>
      <c r="I85" s="195" t="s">
        <v>244</v>
      </c>
      <c r="J85" s="195" t="s">
        <v>169</v>
      </c>
      <c r="K85" s="195" t="s">
        <v>169</v>
      </c>
      <c r="L85" s="195"/>
      <c r="M85" s="196" t="s">
        <v>12</v>
      </c>
      <c r="N85" s="184"/>
    </row>
    <row r="86" spans="1:14" ht="15" x14ac:dyDescent="0.25">
      <c r="A86" s="185"/>
      <c r="B86" s="186" t="s">
        <v>205</v>
      </c>
      <c r="C86" s="186" t="s">
        <v>11</v>
      </c>
      <c r="D86" s="187">
        <v>493728</v>
      </c>
      <c r="E86" s="187">
        <v>4026401</v>
      </c>
      <c r="F86" s="188">
        <v>9419</v>
      </c>
      <c r="G86" s="189" t="s">
        <v>244</v>
      </c>
      <c r="H86" s="189" t="s">
        <v>244</v>
      </c>
      <c r="I86" s="189" t="s">
        <v>244</v>
      </c>
      <c r="J86" s="189" t="s">
        <v>169</v>
      </c>
      <c r="K86" s="189" t="s">
        <v>244</v>
      </c>
      <c r="L86" s="189" t="s">
        <v>244</v>
      </c>
      <c r="M86" s="190" t="s">
        <v>11</v>
      </c>
      <c r="N86" s="184"/>
    </row>
    <row r="87" spans="1:14" ht="15" x14ac:dyDescent="0.25">
      <c r="A87" s="185"/>
      <c r="B87" s="186" t="s">
        <v>451</v>
      </c>
      <c r="C87" s="186" t="s">
        <v>11</v>
      </c>
      <c r="D87" s="187">
        <v>487827</v>
      </c>
      <c r="E87" s="187">
        <v>4026491</v>
      </c>
      <c r="F87" s="188">
        <v>9205</v>
      </c>
      <c r="G87" s="189" t="s">
        <v>244</v>
      </c>
      <c r="H87" s="189" t="s">
        <v>244</v>
      </c>
      <c r="I87" s="189" t="s">
        <v>244</v>
      </c>
      <c r="J87" s="189" t="s">
        <v>169</v>
      </c>
      <c r="K87" s="189" t="s">
        <v>244</v>
      </c>
      <c r="L87" s="189" t="s">
        <v>244</v>
      </c>
      <c r="M87" s="190" t="s">
        <v>11</v>
      </c>
      <c r="N87" s="184"/>
    </row>
    <row r="88" spans="1:14" ht="15" x14ac:dyDescent="0.25">
      <c r="A88" s="185"/>
      <c r="B88" s="186" t="s">
        <v>249</v>
      </c>
      <c r="C88" s="186" t="s">
        <v>13</v>
      </c>
      <c r="D88" s="187">
        <v>496635</v>
      </c>
      <c r="E88" s="187">
        <v>4040475</v>
      </c>
      <c r="F88" s="188">
        <v>8413</v>
      </c>
      <c r="G88" s="189" t="s">
        <v>244</v>
      </c>
      <c r="H88" s="189" t="s">
        <v>244</v>
      </c>
      <c r="I88" s="189" t="s">
        <v>244</v>
      </c>
      <c r="J88" s="189" t="s">
        <v>169</v>
      </c>
      <c r="K88" s="189" t="s">
        <v>169</v>
      </c>
      <c r="L88" s="189" t="s">
        <v>244</v>
      </c>
      <c r="M88" s="190" t="s">
        <v>11</v>
      </c>
      <c r="N88" s="184"/>
    </row>
    <row r="89" spans="1:14" ht="15" x14ac:dyDescent="0.25">
      <c r="A89" s="191">
        <v>2019</v>
      </c>
      <c r="B89" s="192" t="s">
        <v>307</v>
      </c>
      <c r="C89" s="192" t="s">
        <v>11</v>
      </c>
      <c r="D89" s="193">
        <v>487595.97</v>
      </c>
      <c r="E89" s="193">
        <v>4023654.22</v>
      </c>
      <c r="F89" s="194">
        <v>9523</v>
      </c>
      <c r="G89" s="195"/>
      <c r="H89" s="195"/>
      <c r="I89" s="195" t="s">
        <v>244</v>
      </c>
      <c r="J89" s="195" t="s">
        <v>169</v>
      </c>
      <c r="K89" s="195" t="s">
        <v>244</v>
      </c>
      <c r="L89" s="195"/>
      <c r="M89" s="196" t="s">
        <v>11</v>
      </c>
      <c r="N89" s="184"/>
    </row>
    <row r="90" spans="1:14" ht="15" x14ac:dyDescent="0.25">
      <c r="A90" s="185"/>
      <c r="B90" s="186" t="s">
        <v>87</v>
      </c>
      <c r="C90" s="186" t="s">
        <v>11</v>
      </c>
      <c r="D90" s="187">
        <v>498474</v>
      </c>
      <c r="E90" s="187">
        <v>4030533</v>
      </c>
      <c r="F90" s="188">
        <v>7469</v>
      </c>
      <c r="G90" s="189" t="s">
        <v>244</v>
      </c>
      <c r="H90" s="189" t="s">
        <v>244</v>
      </c>
      <c r="I90" s="189" t="s">
        <v>244</v>
      </c>
      <c r="J90" s="189" t="s">
        <v>169</v>
      </c>
      <c r="K90" s="189" t="s">
        <v>244</v>
      </c>
      <c r="L90" s="189" t="s">
        <v>244</v>
      </c>
      <c r="M90" s="190" t="s">
        <v>11</v>
      </c>
      <c r="N90" s="184"/>
    </row>
    <row r="91" spans="1:14" ht="15" x14ac:dyDescent="0.25">
      <c r="A91" s="185"/>
      <c r="B91" s="186" t="s">
        <v>175</v>
      </c>
      <c r="C91" s="186" t="s">
        <v>11</v>
      </c>
      <c r="D91" s="187">
        <v>493583</v>
      </c>
      <c r="E91" s="187">
        <v>4027520</v>
      </c>
      <c r="F91" s="188">
        <v>8962</v>
      </c>
      <c r="G91" s="189" t="s">
        <v>244</v>
      </c>
      <c r="H91" s="189" t="s">
        <v>244</v>
      </c>
      <c r="I91" s="189" t="s">
        <v>244</v>
      </c>
      <c r="J91" s="189" t="s">
        <v>169</v>
      </c>
      <c r="K91" s="189" t="s">
        <v>244</v>
      </c>
      <c r="L91" s="189" t="s">
        <v>244</v>
      </c>
      <c r="M91" s="190" t="s">
        <v>11</v>
      </c>
      <c r="N91" s="184"/>
    </row>
    <row r="92" spans="1:14" ht="15" x14ac:dyDescent="0.25">
      <c r="A92" s="185"/>
      <c r="B92" s="186" t="s">
        <v>88</v>
      </c>
      <c r="C92" s="186" t="s">
        <v>13</v>
      </c>
      <c r="D92" s="187">
        <v>493143</v>
      </c>
      <c r="E92" s="187">
        <v>4041628</v>
      </c>
      <c r="F92" s="188">
        <v>8308</v>
      </c>
      <c r="G92" s="189" t="s">
        <v>244</v>
      </c>
      <c r="H92" s="189" t="s">
        <v>244</v>
      </c>
      <c r="I92" s="189" t="s">
        <v>244</v>
      </c>
      <c r="J92" s="189" t="s">
        <v>169</v>
      </c>
      <c r="K92" s="189" t="s">
        <v>244</v>
      </c>
      <c r="L92" s="189" t="s">
        <v>244</v>
      </c>
      <c r="M92" s="190" t="s">
        <v>11</v>
      </c>
      <c r="N92" s="184"/>
    </row>
    <row r="93" spans="1:14" ht="15" x14ac:dyDescent="0.25">
      <c r="A93" s="259">
        <v>2021</v>
      </c>
      <c r="B93" s="260" t="s">
        <v>357</v>
      </c>
      <c r="C93" s="260" t="s">
        <v>11</v>
      </c>
      <c r="D93" s="261">
        <v>501032.30530000001</v>
      </c>
      <c r="E93" s="261">
        <v>4031514.3975</v>
      </c>
      <c r="F93" s="262">
        <v>7385</v>
      </c>
      <c r="G93" s="263"/>
      <c r="H93" s="263"/>
      <c r="I93" s="263" t="s">
        <v>244</v>
      </c>
      <c r="J93" s="263" t="s">
        <v>169</v>
      </c>
      <c r="K93" s="263" t="s">
        <v>169</v>
      </c>
      <c r="L93" s="263"/>
      <c r="M93" s="264" t="s">
        <v>11</v>
      </c>
      <c r="N93" s="184"/>
    </row>
    <row r="94" spans="1:14" ht="15" x14ac:dyDescent="0.25">
      <c r="A94" s="185"/>
      <c r="B94" s="186" t="s">
        <v>250</v>
      </c>
      <c r="C94" s="186" t="s">
        <v>13</v>
      </c>
      <c r="D94" s="187">
        <v>496880</v>
      </c>
      <c r="E94" s="187">
        <v>4043340</v>
      </c>
      <c r="F94" s="188">
        <v>7494</v>
      </c>
      <c r="G94" s="189" t="s">
        <v>244</v>
      </c>
      <c r="H94" s="189" t="s">
        <v>244</v>
      </c>
      <c r="I94" s="189" t="s">
        <v>244</v>
      </c>
      <c r="J94" s="189" t="s">
        <v>169</v>
      </c>
      <c r="K94" s="189" t="s">
        <v>244</v>
      </c>
      <c r="L94" s="189" t="s">
        <v>244</v>
      </c>
      <c r="M94" s="190" t="s">
        <v>11</v>
      </c>
      <c r="N94" s="184"/>
    </row>
    <row r="95" spans="1:14" ht="15" x14ac:dyDescent="0.25">
      <c r="A95" s="185"/>
      <c r="B95" s="186" t="s">
        <v>206</v>
      </c>
      <c r="C95" s="186" t="s">
        <v>12</v>
      </c>
      <c r="D95" s="187">
        <v>486238</v>
      </c>
      <c r="E95" s="187">
        <v>4050954</v>
      </c>
      <c r="F95" s="188">
        <v>8498</v>
      </c>
      <c r="G95" s="189" t="s">
        <v>244</v>
      </c>
      <c r="H95" s="189" t="s">
        <v>244</v>
      </c>
      <c r="I95" s="189" t="s">
        <v>244</v>
      </c>
      <c r="J95" s="189" t="s">
        <v>169</v>
      </c>
      <c r="K95" s="189" t="s">
        <v>244</v>
      </c>
      <c r="L95" s="189" t="s">
        <v>244</v>
      </c>
      <c r="M95" s="190" t="s">
        <v>12</v>
      </c>
      <c r="N95" s="184"/>
    </row>
    <row r="96" spans="1:14" ht="15" x14ac:dyDescent="0.25">
      <c r="A96" s="185"/>
      <c r="B96" s="186" t="s">
        <v>89</v>
      </c>
      <c r="C96" s="186" t="s">
        <v>12</v>
      </c>
      <c r="D96" s="187">
        <v>500499</v>
      </c>
      <c r="E96" s="187">
        <v>4050410</v>
      </c>
      <c r="F96" s="188">
        <v>7105</v>
      </c>
      <c r="G96" s="189" t="s">
        <v>244</v>
      </c>
      <c r="H96" s="189" t="s">
        <v>244</v>
      </c>
      <c r="I96" s="189" t="s">
        <v>244</v>
      </c>
      <c r="J96" s="189" t="s">
        <v>169</v>
      </c>
      <c r="K96" s="189" t="s">
        <v>169</v>
      </c>
      <c r="L96" s="189" t="s">
        <v>244</v>
      </c>
      <c r="M96" s="190" t="s">
        <v>12</v>
      </c>
      <c r="N96" s="184"/>
    </row>
    <row r="97" spans="1:14" ht="15" x14ac:dyDescent="0.25">
      <c r="A97" s="185"/>
      <c r="B97" s="186" t="s">
        <v>42</v>
      </c>
      <c r="C97" s="186" t="s">
        <v>10</v>
      </c>
      <c r="D97" s="197">
        <v>486857.99619999999</v>
      </c>
      <c r="E97" s="197">
        <v>4073297.6935000001</v>
      </c>
      <c r="F97" s="198">
        <v>8538</v>
      </c>
      <c r="G97" s="189" t="s">
        <v>244</v>
      </c>
      <c r="H97" s="189" t="s">
        <v>244</v>
      </c>
      <c r="I97" s="189" t="s">
        <v>244</v>
      </c>
      <c r="J97" s="189" t="s">
        <v>169</v>
      </c>
      <c r="K97" s="189" t="s">
        <v>244</v>
      </c>
      <c r="L97" s="189" t="s">
        <v>244</v>
      </c>
      <c r="M97" s="190" t="s">
        <v>12</v>
      </c>
      <c r="N97" s="184"/>
    </row>
    <row r="98" spans="1:14" ht="15" x14ac:dyDescent="0.25">
      <c r="A98" s="185"/>
      <c r="B98" s="186" t="s">
        <v>267</v>
      </c>
      <c r="C98" s="186" t="s">
        <v>12</v>
      </c>
      <c r="D98" s="187">
        <v>497635</v>
      </c>
      <c r="E98" s="187">
        <v>4057295</v>
      </c>
      <c r="F98" s="188">
        <v>7220</v>
      </c>
      <c r="G98" s="189" t="s">
        <v>244</v>
      </c>
      <c r="H98" s="189" t="s">
        <v>244</v>
      </c>
      <c r="I98" s="189" t="s">
        <v>169</v>
      </c>
      <c r="J98" s="189" t="s">
        <v>244</v>
      </c>
      <c r="K98" s="189" t="s">
        <v>244</v>
      </c>
      <c r="L98" s="189" t="s">
        <v>244</v>
      </c>
      <c r="M98" s="190" t="s">
        <v>12</v>
      </c>
      <c r="N98" s="184"/>
    </row>
    <row r="99" spans="1:14" ht="15" x14ac:dyDescent="0.25">
      <c r="A99" s="185"/>
      <c r="B99" s="186" t="s">
        <v>263</v>
      </c>
      <c r="C99" s="186" t="s">
        <v>10</v>
      </c>
      <c r="D99" s="197">
        <v>482410</v>
      </c>
      <c r="E99" s="197">
        <v>4068284</v>
      </c>
      <c r="F99" s="198">
        <v>9118</v>
      </c>
      <c r="G99" s="189" t="s">
        <v>244</v>
      </c>
      <c r="H99" s="189" t="s">
        <v>244</v>
      </c>
      <c r="I99" s="189" t="s">
        <v>244</v>
      </c>
      <c r="J99" s="189" t="s">
        <v>169</v>
      </c>
      <c r="K99" s="189" t="s">
        <v>244</v>
      </c>
      <c r="L99" s="189" t="s">
        <v>244</v>
      </c>
      <c r="M99" s="190" t="s">
        <v>12</v>
      </c>
      <c r="N99" s="184"/>
    </row>
    <row r="100" spans="1:14" ht="15" x14ac:dyDescent="0.25">
      <c r="A100" s="185"/>
      <c r="B100" s="186" t="s">
        <v>90</v>
      </c>
      <c r="C100" s="186" t="s">
        <v>11</v>
      </c>
      <c r="D100" s="187">
        <v>496250</v>
      </c>
      <c r="E100" s="187">
        <v>4030958</v>
      </c>
      <c r="F100" s="188">
        <v>7977</v>
      </c>
      <c r="G100" s="189" t="s">
        <v>169</v>
      </c>
      <c r="H100" s="189" t="s">
        <v>244</v>
      </c>
      <c r="I100" s="189" t="s">
        <v>169</v>
      </c>
      <c r="J100" s="189" t="s">
        <v>244</v>
      </c>
      <c r="K100" s="189" t="s">
        <v>244</v>
      </c>
      <c r="L100" s="189" t="s">
        <v>169</v>
      </c>
      <c r="M100" s="190" t="s">
        <v>11</v>
      </c>
      <c r="N100" s="184"/>
    </row>
    <row r="101" spans="1:14" ht="15" x14ac:dyDescent="0.25">
      <c r="A101" s="185"/>
      <c r="B101" s="186" t="s">
        <v>296</v>
      </c>
      <c r="C101" s="186" t="s">
        <v>13</v>
      </c>
      <c r="D101" s="199">
        <v>492417.2</v>
      </c>
      <c r="E101" s="199">
        <v>4044351</v>
      </c>
      <c r="F101" s="212">
        <v>7703</v>
      </c>
      <c r="G101" s="189" t="s">
        <v>244</v>
      </c>
      <c r="H101" s="189" t="s">
        <v>244</v>
      </c>
      <c r="I101" s="189" t="s">
        <v>244</v>
      </c>
      <c r="J101" s="189" t="s">
        <v>169</v>
      </c>
      <c r="K101" s="189" t="s">
        <v>169</v>
      </c>
      <c r="L101" s="189" t="s">
        <v>244</v>
      </c>
      <c r="M101" s="190" t="s">
        <v>11</v>
      </c>
      <c r="N101" s="184"/>
    </row>
    <row r="102" spans="1:14" ht="15" x14ac:dyDescent="0.25">
      <c r="A102" s="185"/>
      <c r="B102" s="186" t="s">
        <v>91</v>
      </c>
      <c r="C102" s="186" t="s">
        <v>12</v>
      </c>
      <c r="D102" s="187">
        <v>484666</v>
      </c>
      <c r="E102" s="187">
        <v>4051561</v>
      </c>
      <c r="F102" s="188">
        <v>8898</v>
      </c>
      <c r="G102" s="189" t="s">
        <v>244</v>
      </c>
      <c r="H102" s="189" t="s">
        <v>244</v>
      </c>
      <c r="I102" s="189" t="s">
        <v>169</v>
      </c>
      <c r="J102" s="189" t="s">
        <v>244</v>
      </c>
      <c r="K102" s="189" t="s">
        <v>244</v>
      </c>
      <c r="L102" s="189" t="s">
        <v>244</v>
      </c>
      <c r="M102" s="190" t="s">
        <v>12</v>
      </c>
      <c r="N102" s="184"/>
    </row>
    <row r="103" spans="1:14" ht="15" x14ac:dyDescent="0.25">
      <c r="A103" s="259">
        <v>2021</v>
      </c>
      <c r="B103" s="260" t="s">
        <v>351</v>
      </c>
      <c r="C103" s="260" t="s">
        <v>13</v>
      </c>
      <c r="D103" s="261">
        <v>493459.07990000001</v>
      </c>
      <c r="E103" s="261">
        <v>4048688.4183999998</v>
      </c>
      <c r="F103" s="262">
        <v>8295</v>
      </c>
      <c r="G103" s="263"/>
      <c r="H103" s="263"/>
      <c r="I103" s="263" t="s">
        <v>244</v>
      </c>
      <c r="J103" s="263" t="s">
        <v>169</v>
      </c>
      <c r="K103" s="263" t="s">
        <v>169</v>
      </c>
      <c r="L103" s="263"/>
      <c r="M103" s="264" t="s">
        <v>363</v>
      </c>
      <c r="N103" s="184"/>
    </row>
    <row r="104" spans="1:14" ht="15" x14ac:dyDescent="0.25">
      <c r="A104" s="662"/>
      <c r="B104" s="663" t="s">
        <v>297</v>
      </c>
      <c r="C104" s="663" t="s">
        <v>13</v>
      </c>
      <c r="D104" s="669">
        <v>486031.29960000003</v>
      </c>
      <c r="E104" s="669">
        <v>4036786.3292</v>
      </c>
      <c r="F104" s="665">
        <v>11650</v>
      </c>
      <c r="G104" s="666" t="s">
        <v>244</v>
      </c>
      <c r="H104" s="666" t="s">
        <v>244</v>
      </c>
      <c r="I104" s="666" t="s">
        <v>244</v>
      </c>
      <c r="J104" s="666" t="s">
        <v>169</v>
      </c>
      <c r="K104" s="666" t="s">
        <v>169</v>
      </c>
      <c r="L104" s="666" t="s">
        <v>244</v>
      </c>
      <c r="M104" s="667" t="s">
        <v>11</v>
      </c>
      <c r="N104" s="1287" t="s">
        <v>467</v>
      </c>
    </row>
    <row r="105" spans="1:14" ht="15" x14ac:dyDescent="0.25">
      <c r="A105" s="185"/>
      <c r="B105" s="186" t="s">
        <v>456</v>
      </c>
      <c r="C105" s="186" t="s">
        <v>13</v>
      </c>
      <c r="D105" s="197">
        <v>486031.29960000003</v>
      </c>
      <c r="E105" s="197">
        <v>4036786.3292</v>
      </c>
      <c r="F105" s="198">
        <v>11650</v>
      </c>
      <c r="G105" s="189" t="s">
        <v>244</v>
      </c>
      <c r="H105" s="189" t="s">
        <v>244</v>
      </c>
      <c r="I105" s="189" t="s">
        <v>244</v>
      </c>
      <c r="J105" s="189" t="s">
        <v>169</v>
      </c>
      <c r="K105" s="189" t="s">
        <v>169</v>
      </c>
      <c r="L105" s="189" t="s">
        <v>244</v>
      </c>
      <c r="M105" s="190" t="s">
        <v>11</v>
      </c>
      <c r="N105" s="1288"/>
    </row>
    <row r="106" spans="1:14" ht="15" x14ac:dyDescent="0.25">
      <c r="A106" s="185"/>
      <c r="B106" s="186" t="s">
        <v>92</v>
      </c>
      <c r="C106" s="186" t="s">
        <v>12</v>
      </c>
      <c r="D106" s="187">
        <v>495733</v>
      </c>
      <c r="E106" s="187">
        <v>4049734</v>
      </c>
      <c r="F106" s="188">
        <v>7724</v>
      </c>
      <c r="G106" s="189" t="s">
        <v>244</v>
      </c>
      <c r="H106" s="189" t="s">
        <v>244</v>
      </c>
      <c r="I106" s="189" t="s">
        <v>244</v>
      </c>
      <c r="J106" s="189" t="s">
        <v>169</v>
      </c>
      <c r="K106" s="189" t="s">
        <v>244</v>
      </c>
      <c r="L106" s="189" t="s">
        <v>244</v>
      </c>
      <c r="M106" s="190" t="s">
        <v>12</v>
      </c>
      <c r="N106" s="184"/>
    </row>
    <row r="107" spans="1:14" ht="15" x14ac:dyDescent="0.25">
      <c r="A107" s="185"/>
      <c r="B107" s="186" t="s">
        <v>172</v>
      </c>
      <c r="C107" s="186" t="s">
        <v>11</v>
      </c>
      <c r="D107" s="187">
        <v>496228</v>
      </c>
      <c r="E107" s="187">
        <v>4032333</v>
      </c>
      <c r="F107" s="188">
        <v>7961</v>
      </c>
      <c r="G107" s="189" t="s">
        <v>244</v>
      </c>
      <c r="H107" s="189" t="s">
        <v>244</v>
      </c>
      <c r="I107" s="189" t="s">
        <v>244</v>
      </c>
      <c r="J107" s="189" t="s">
        <v>169</v>
      </c>
      <c r="K107" s="189" t="s">
        <v>244</v>
      </c>
      <c r="L107" s="189" t="s">
        <v>244</v>
      </c>
      <c r="M107" s="190" t="s">
        <v>11</v>
      </c>
      <c r="N107" s="184"/>
    </row>
    <row r="108" spans="1:14" ht="15" x14ac:dyDescent="0.25">
      <c r="A108" s="191">
        <v>2019</v>
      </c>
      <c r="B108" s="192" t="s">
        <v>310</v>
      </c>
      <c r="C108" s="192" t="s">
        <v>12</v>
      </c>
      <c r="D108" s="193">
        <v>495945.07</v>
      </c>
      <c r="E108" s="193">
        <v>4058676.11</v>
      </c>
      <c r="F108" s="194">
        <v>7706</v>
      </c>
      <c r="G108" s="195"/>
      <c r="H108" s="195"/>
      <c r="I108" s="195" t="s">
        <v>244</v>
      </c>
      <c r="J108" s="195" t="s">
        <v>169</v>
      </c>
      <c r="K108" s="195" t="s">
        <v>244</v>
      </c>
      <c r="L108" s="195"/>
      <c r="M108" s="196" t="s">
        <v>12</v>
      </c>
      <c r="N108" s="184"/>
    </row>
    <row r="109" spans="1:14" ht="15" x14ac:dyDescent="0.25">
      <c r="A109" s="185"/>
      <c r="B109" s="186" t="s">
        <v>93</v>
      </c>
      <c r="C109" s="186" t="s">
        <v>11</v>
      </c>
      <c r="D109" s="187">
        <v>497636</v>
      </c>
      <c r="E109" s="187">
        <v>4025768</v>
      </c>
      <c r="F109" s="188">
        <v>7375</v>
      </c>
      <c r="G109" s="189" t="s">
        <v>244</v>
      </c>
      <c r="H109" s="189" t="s">
        <v>244</v>
      </c>
      <c r="I109" s="189" t="s">
        <v>244</v>
      </c>
      <c r="J109" s="189" t="s">
        <v>169</v>
      </c>
      <c r="K109" s="189" t="s">
        <v>244</v>
      </c>
      <c r="L109" s="189" t="s">
        <v>244</v>
      </c>
      <c r="M109" s="190" t="s">
        <v>11</v>
      </c>
      <c r="N109" s="184"/>
    </row>
    <row r="110" spans="1:14" ht="15" x14ac:dyDescent="0.25">
      <c r="A110" s="185"/>
      <c r="B110" s="186" t="s">
        <v>43</v>
      </c>
      <c r="C110" s="186" t="s">
        <v>10</v>
      </c>
      <c r="D110" s="199"/>
      <c r="E110" s="199"/>
      <c r="F110" s="212"/>
      <c r="G110" s="189" t="s">
        <v>244</v>
      </c>
      <c r="H110" s="189" t="s">
        <v>244</v>
      </c>
      <c r="I110" s="189" t="s">
        <v>244</v>
      </c>
      <c r="J110" s="189" t="s">
        <v>169</v>
      </c>
      <c r="K110" s="189" t="s">
        <v>244</v>
      </c>
      <c r="L110" s="189" t="s">
        <v>244</v>
      </c>
      <c r="M110" s="190" t="s">
        <v>12</v>
      </c>
      <c r="N110" s="184"/>
    </row>
    <row r="111" spans="1:14" ht="15" x14ac:dyDescent="0.25">
      <c r="A111" s="185"/>
      <c r="B111" s="186" t="s">
        <v>134</v>
      </c>
      <c r="C111" s="186" t="s">
        <v>11</v>
      </c>
      <c r="D111" s="187">
        <v>502788</v>
      </c>
      <c r="E111" s="187">
        <v>4025183</v>
      </c>
      <c r="F111" s="188">
        <v>6731</v>
      </c>
      <c r="G111" s="189" t="s">
        <v>244</v>
      </c>
      <c r="H111" s="189" t="s">
        <v>244</v>
      </c>
      <c r="I111" s="189" t="s">
        <v>244</v>
      </c>
      <c r="J111" s="189" t="s">
        <v>169</v>
      </c>
      <c r="K111" s="189" t="s">
        <v>244</v>
      </c>
      <c r="L111" s="189" t="s">
        <v>244</v>
      </c>
      <c r="M111" s="190" t="s">
        <v>11</v>
      </c>
      <c r="N111" s="184"/>
    </row>
    <row r="112" spans="1:14" ht="15" x14ac:dyDescent="0.25">
      <c r="A112" s="185"/>
      <c r="B112" s="186" t="s">
        <v>44</v>
      </c>
      <c r="C112" s="186" t="s">
        <v>11</v>
      </c>
      <c r="D112" s="187">
        <v>489389</v>
      </c>
      <c r="E112" s="187">
        <v>4030051</v>
      </c>
      <c r="F112" s="188">
        <v>8921</v>
      </c>
      <c r="G112" s="189" t="s">
        <v>169</v>
      </c>
      <c r="H112" s="189" t="s">
        <v>169</v>
      </c>
      <c r="I112" s="189" t="s">
        <v>169</v>
      </c>
      <c r="J112" s="189" t="s">
        <v>244</v>
      </c>
      <c r="K112" s="189" t="s">
        <v>244</v>
      </c>
      <c r="L112" s="189" t="s">
        <v>169</v>
      </c>
      <c r="M112" s="190" t="s">
        <v>11</v>
      </c>
      <c r="N112" s="184"/>
    </row>
    <row r="113" spans="1:14" ht="15" x14ac:dyDescent="0.25">
      <c r="A113" s="185"/>
      <c r="B113" s="186" t="s">
        <v>268</v>
      </c>
      <c r="C113" s="186" t="s">
        <v>11</v>
      </c>
      <c r="D113" s="197">
        <v>501236</v>
      </c>
      <c r="E113" s="197">
        <v>4024353</v>
      </c>
      <c r="F113" s="188">
        <v>6924</v>
      </c>
      <c r="G113" s="189" t="s">
        <v>244</v>
      </c>
      <c r="H113" s="189" t="s">
        <v>244</v>
      </c>
      <c r="I113" s="189" t="s">
        <v>244</v>
      </c>
      <c r="J113" s="189" t="s">
        <v>169</v>
      </c>
      <c r="K113" s="189" t="s">
        <v>244</v>
      </c>
      <c r="L113" s="189" t="s">
        <v>244</v>
      </c>
      <c r="M113" s="190" t="s">
        <v>11</v>
      </c>
      <c r="N113" s="184"/>
    </row>
    <row r="114" spans="1:14" ht="15" x14ac:dyDescent="0.25">
      <c r="A114" s="649">
        <v>2023</v>
      </c>
      <c r="B114" s="650" t="s">
        <v>452</v>
      </c>
      <c r="C114" s="650" t="s">
        <v>12</v>
      </c>
      <c r="D114" s="660">
        <v>4836526.0779999997</v>
      </c>
      <c r="E114" s="660">
        <v>4052601.3470000001</v>
      </c>
      <c r="F114" s="661">
        <v>9483.43</v>
      </c>
      <c r="G114" s="651" t="s">
        <v>244</v>
      </c>
      <c r="H114" s="651" t="s">
        <v>244</v>
      </c>
      <c r="I114" s="651" t="s">
        <v>244</v>
      </c>
      <c r="J114" s="651" t="s">
        <v>169</v>
      </c>
      <c r="K114" s="651" t="s">
        <v>244</v>
      </c>
      <c r="L114" s="651" t="s">
        <v>244</v>
      </c>
      <c r="M114" s="652" t="s">
        <v>12</v>
      </c>
      <c r="N114" s="184"/>
    </row>
    <row r="115" spans="1:14" ht="15" x14ac:dyDescent="0.25">
      <c r="A115" s="185"/>
      <c r="B115" s="186" t="s">
        <v>132</v>
      </c>
      <c r="C115" s="186" t="s">
        <v>13</v>
      </c>
      <c r="D115" s="187">
        <v>495827</v>
      </c>
      <c r="E115" s="187">
        <v>4034966</v>
      </c>
      <c r="F115" s="188">
        <v>8004</v>
      </c>
      <c r="G115" s="189" t="s">
        <v>244</v>
      </c>
      <c r="H115" s="189" t="s">
        <v>244</v>
      </c>
      <c r="I115" s="189" t="s">
        <v>244</v>
      </c>
      <c r="J115" s="189" t="s">
        <v>169</v>
      </c>
      <c r="K115" s="189" t="s">
        <v>169</v>
      </c>
      <c r="L115" s="189" t="s">
        <v>244</v>
      </c>
      <c r="M115" s="190" t="s">
        <v>11</v>
      </c>
      <c r="N115" s="184"/>
    </row>
    <row r="116" spans="1:14" ht="15" x14ac:dyDescent="0.25">
      <c r="A116" s="185"/>
      <c r="B116" s="186" t="s">
        <v>94</v>
      </c>
      <c r="C116" s="186" t="s">
        <v>12</v>
      </c>
      <c r="D116" s="197">
        <v>496696.54700000002</v>
      </c>
      <c r="E116" s="197">
        <v>4053001.2755</v>
      </c>
      <c r="F116" s="188">
        <v>7150</v>
      </c>
      <c r="G116" s="189" t="s">
        <v>169</v>
      </c>
      <c r="H116" s="189" t="s">
        <v>169</v>
      </c>
      <c r="I116" s="189" t="s">
        <v>169</v>
      </c>
      <c r="J116" s="189" t="s">
        <v>244</v>
      </c>
      <c r="K116" s="189" t="s">
        <v>244</v>
      </c>
      <c r="L116" s="189" t="s">
        <v>169</v>
      </c>
      <c r="M116" s="190" t="s">
        <v>12</v>
      </c>
      <c r="N116" s="184"/>
    </row>
    <row r="117" spans="1:14" ht="15" x14ac:dyDescent="0.25">
      <c r="A117" s="185"/>
      <c r="B117" s="186" t="s">
        <v>95</v>
      </c>
      <c r="C117" s="186" t="s">
        <v>11</v>
      </c>
      <c r="D117" s="187">
        <v>488353</v>
      </c>
      <c r="E117" s="187">
        <v>4030881</v>
      </c>
      <c r="F117" s="188">
        <v>9152</v>
      </c>
      <c r="G117" s="189" t="s">
        <v>244</v>
      </c>
      <c r="H117" s="189" t="s">
        <v>244</v>
      </c>
      <c r="I117" s="189" t="s">
        <v>244</v>
      </c>
      <c r="J117" s="189" t="s">
        <v>169</v>
      </c>
      <c r="K117" s="189" t="s">
        <v>244</v>
      </c>
      <c r="L117" s="189" t="s">
        <v>244</v>
      </c>
      <c r="M117" s="190" t="s">
        <v>11</v>
      </c>
      <c r="N117" s="184"/>
    </row>
    <row r="118" spans="1:14" ht="15" x14ac:dyDescent="0.25">
      <c r="A118" s="185"/>
      <c r="B118" s="186" t="s">
        <v>96</v>
      </c>
      <c r="C118" s="186" t="s">
        <v>12</v>
      </c>
      <c r="D118" s="187">
        <v>489738</v>
      </c>
      <c r="E118" s="187">
        <v>4053274</v>
      </c>
      <c r="F118" s="188">
        <v>8069</v>
      </c>
      <c r="G118" s="189" t="s">
        <v>244</v>
      </c>
      <c r="H118" s="189" t="s">
        <v>244</v>
      </c>
      <c r="I118" s="189" t="s">
        <v>169</v>
      </c>
      <c r="J118" s="189" t="s">
        <v>244</v>
      </c>
      <c r="K118" s="189" t="s">
        <v>244</v>
      </c>
      <c r="L118" s="189" t="s">
        <v>244</v>
      </c>
      <c r="M118" s="190" t="s">
        <v>12</v>
      </c>
      <c r="N118" s="184"/>
    </row>
    <row r="119" spans="1:14" ht="15" x14ac:dyDescent="0.25">
      <c r="A119" s="185"/>
      <c r="B119" s="186" t="s">
        <v>45</v>
      </c>
      <c r="C119" s="186" t="s">
        <v>12</v>
      </c>
      <c r="D119" s="187">
        <v>487758</v>
      </c>
      <c r="E119" s="187">
        <v>4053694</v>
      </c>
      <c r="F119" s="188">
        <v>8359</v>
      </c>
      <c r="G119" s="189" t="s">
        <v>244</v>
      </c>
      <c r="H119" s="189" t="s">
        <v>244</v>
      </c>
      <c r="I119" s="189" t="s">
        <v>244</v>
      </c>
      <c r="J119" s="189" t="s">
        <v>169</v>
      </c>
      <c r="K119" s="189" t="s">
        <v>244</v>
      </c>
      <c r="L119" s="189" t="s">
        <v>244</v>
      </c>
      <c r="M119" s="190" t="s">
        <v>12</v>
      </c>
      <c r="N119" s="184"/>
    </row>
    <row r="120" spans="1:14" ht="15" x14ac:dyDescent="0.25">
      <c r="A120" s="200">
        <v>2020</v>
      </c>
      <c r="B120" s="201" t="s">
        <v>330</v>
      </c>
      <c r="C120" s="201" t="s">
        <v>12</v>
      </c>
      <c r="D120" s="202">
        <v>492496.72</v>
      </c>
      <c r="E120" s="202">
        <v>4059396.86</v>
      </c>
      <c r="F120" s="203">
        <v>8115</v>
      </c>
      <c r="G120" s="204"/>
      <c r="H120" s="204"/>
      <c r="I120" s="204" t="s">
        <v>244</v>
      </c>
      <c r="J120" s="204" t="s">
        <v>169</v>
      </c>
      <c r="K120" s="204" t="s">
        <v>169</v>
      </c>
      <c r="L120" s="204"/>
      <c r="M120" s="205" t="s">
        <v>12</v>
      </c>
      <c r="N120" s="184"/>
    </row>
    <row r="121" spans="1:14" ht="15" x14ac:dyDescent="0.25">
      <c r="A121" s="185"/>
      <c r="B121" s="186" t="s">
        <v>97</v>
      </c>
      <c r="C121" s="186" t="s">
        <v>11</v>
      </c>
      <c r="D121" s="199">
        <v>506169.3798</v>
      </c>
      <c r="E121" s="199">
        <v>4024627.3322999999</v>
      </c>
      <c r="F121" s="213">
        <v>6518</v>
      </c>
      <c r="G121" s="189" t="s">
        <v>244</v>
      </c>
      <c r="H121" s="189" t="s">
        <v>244</v>
      </c>
      <c r="I121" s="189" t="s">
        <v>244</v>
      </c>
      <c r="J121" s="189" t="s">
        <v>169</v>
      </c>
      <c r="K121" s="189" t="s">
        <v>244</v>
      </c>
      <c r="L121" s="189" t="s">
        <v>244</v>
      </c>
      <c r="M121" s="190" t="s">
        <v>11</v>
      </c>
      <c r="N121" s="184"/>
    </row>
    <row r="122" spans="1:14" ht="15" x14ac:dyDescent="0.25">
      <c r="A122" s="185"/>
      <c r="B122" s="186" t="s">
        <v>294</v>
      </c>
      <c r="C122" s="186" t="s">
        <v>11</v>
      </c>
      <c r="D122" s="197">
        <v>505371</v>
      </c>
      <c r="E122" s="197">
        <v>4024604</v>
      </c>
      <c r="F122" s="198">
        <v>6655</v>
      </c>
      <c r="G122" s="189" t="s">
        <v>244</v>
      </c>
      <c r="H122" s="189" t="s">
        <v>244</v>
      </c>
      <c r="I122" s="189" t="s">
        <v>244</v>
      </c>
      <c r="J122" s="189" t="s">
        <v>169</v>
      </c>
      <c r="K122" s="189" t="s">
        <v>244</v>
      </c>
      <c r="L122" s="189" t="s">
        <v>169</v>
      </c>
      <c r="M122" s="190" t="s">
        <v>11</v>
      </c>
      <c r="N122" s="184"/>
    </row>
    <row r="123" spans="1:14" ht="15" x14ac:dyDescent="0.25">
      <c r="A123" s="185"/>
      <c r="B123" s="186" t="s">
        <v>98</v>
      </c>
      <c r="C123" s="186" t="s">
        <v>11</v>
      </c>
      <c r="D123" s="187">
        <v>499286</v>
      </c>
      <c r="E123" s="187">
        <v>4025697</v>
      </c>
      <c r="F123" s="188">
        <v>7079</v>
      </c>
      <c r="G123" s="189" t="s">
        <v>244</v>
      </c>
      <c r="H123" s="189" t="s">
        <v>244</v>
      </c>
      <c r="I123" s="189" t="s">
        <v>244</v>
      </c>
      <c r="J123" s="189" t="s">
        <v>169</v>
      </c>
      <c r="K123" s="189" t="s">
        <v>244</v>
      </c>
      <c r="L123" s="189" t="s">
        <v>244</v>
      </c>
      <c r="M123" s="190" t="s">
        <v>11</v>
      </c>
      <c r="N123" s="184"/>
    </row>
    <row r="124" spans="1:14" ht="15" x14ac:dyDescent="0.25">
      <c r="A124" s="185"/>
      <c r="B124" s="186" t="s">
        <v>99</v>
      </c>
      <c r="C124" s="186" t="s">
        <v>11</v>
      </c>
      <c r="D124" s="187">
        <v>487476</v>
      </c>
      <c r="E124" s="187">
        <v>4035642</v>
      </c>
      <c r="F124" s="188">
        <v>10280</v>
      </c>
      <c r="G124" s="189" t="s">
        <v>244</v>
      </c>
      <c r="H124" s="189" t="s">
        <v>244</v>
      </c>
      <c r="I124" s="189" t="s">
        <v>244</v>
      </c>
      <c r="J124" s="189" t="s">
        <v>169</v>
      </c>
      <c r="K124" s="189" t="s">
        <v>244</v>
      </c>
      <c r="L124" s="189" t="s">
        <v>244</v>
      </c>
      <c r="M124" s="190" t="s">
        <v>11</v>
      </c>
      <c r="N124" s="184"/>
    </row>
    <row r="125" spans="1:14" ht="15" x14ac:dyDescent="0.25">
      <c r="A125" s="185"/>
      <c r="B125" s="186" t="s">
        <v>46</v>
      </c>
      <c r="C125" s="186" t="s">
        <v>10</v>
      </c>
      <c r="D125" s="187">
        <v>489694</v>
      </c>
      <c r="E125" s="187">
        <v>4058261</v>
      </c>
      <c r="F125" s="188">
        <v>7728</v>
      </c>
      <c r="G125" s="189" t="s">
        <v>169</v>
      </c>
      <c r="H125" s="189" t="s">
        <v>244</v>
      </c>
      <c r="I125" s="189" t="s">
        <v>169</v>
      </c>
      <c r="J125" s="189" t="s">
        <v>244</v>
      </c>
      <c r="K125" s="189" t="s">
        <v>244</v>
      </c>
      <c r="L125" s="189" t="s">
        <v>244</v>
      </c>
      <c r="M125" s="190" t="s">
        <v>12</v>
      </c>
      <c r="N125" s="184"/>
    </row>
    <row r="126" spans="1:14" ht="15" x14ac:dyDescent="0.25">
      <c r="A126" s="185"/>
      <c r="B126" s="186" t="s">
        <v>100</v>
      </c>
      <c r="C126" s="186" t="s">
        <v>11</v>
      </c>
      <c r="D126" s="187">
        <v>498366</v>
      </c>
      <c r="E126" s="187">
        <v>4025625</v>
      </c>
      <c r="F126" s="188">
        <v>7359</v>
      </c>
      <c r="G126" s="189" t="s">
        <v>244</v>
      </c>
      <c r="H126" s="189" t="s">
        <v>244</v>
      </c>
      <c r="I126" s="189" t="s">
        <v>244</v>
      </c>
      <c r="J126" s="189" t="s">
        <v>169</v>
      </c>
      <c r="K126" s="189" t="s">
        <v>169</v>
      </c>
      <c r="L126" s="189" t="s">
        <v>244</v>
      </c>
      <c r="M126" s="190" t="s">
        <v>11</v>
      </c>
      <c r="N126" s="184"/>
    </row>
    <row r="127" spans="1:14" ht="15" x14ac:dyDescent="0.25">
      <c r="A127" s="185"/>
      <c r="B127" s="186" t="s">
        <v>47</v>
      </c>
      <c r="C127" s="186" t="s">
        <v>10</v>
      </c>
      <c r="D127" s="187">
        <v>489152</v>
      </c>
      <c r="E127" s="187">
        <v>4069608</v>
      </c>
      <c r="F127" s="188">
        <v>8124</v>
      </c>
      <c r="G127" s="189" t="s">
        <v>169</v>
      </c>
      <c r="H127" s="189" t="s">
        <v>244</v>
      </c>
      <c r="I127" s="189" t="s">
        <v>169</v>
      </c>
      <c r="J127" s="189" t="s">
        <v>244</v>
      </c>
      <c r="K127" s="189" t="s">
        <v>244</v>
      </c>
      <c r="L127" s="189" t="s">
        <v>244</v>
      </c>
      <c r="M127" s="190" t="s">
        <v>12</v>
      </c>
      <c r="N127" s="184"/>
    </row>
    <row r="128" spans="1:14" ht="15" x14ac:dyDescent="0.25">
      <c r="A128" s="259">
        <v>2021</v>
      </c>
      <c r="B128" s="260" t="s">
        <v>359</v>
      </c>
      <c r="C128" s="260" t="s">
        <v>12</v>
      </c>
      <c r="D128" s="261">
        <v>487012.16409999999</v>
      </c>
      <c r="E128" s="261">
        <v>4051328.0446000001</v>
      </c>
      <c r="F128" s="262">
        <v>8600</v>
      </c>
      <c r="G128" s="263"/>
      <c r="H128" s="263"/>
      <c r="I128" s="263" t="s">
        <v>244</v>
      </c>
      <c r="J128" s="263" t="s">
        <v>169</v>
      </c>
      <c r="K128" s="263" t="s">
        <v>169</v>
      </c>
      <c r="L128" s="263"/>
      <c r="M128" s="264" t="s">
        <v>12</v>
      </c>
      <c r="N128" s="184"/>
    </row>
    <row r="129" spans="1:14" ht="15" x14ac:dyDescent="0.25">
      <c r="A129" s="185"/>
      <c r="B129" s="186" t="s">
        <v>254</v>
      </c>
      <c r="C129" s="186" t="s">
        <v>11</v>
      </c>
      <c r="D129" s="197">
        <v>500770</v>
      </c>
      <c r="E129" s="197">
        <v>4032043</v>
      </c>
      <c r="F129" s="198">
        <v>7080</v>
      </c>
      <c r="G129" s="189" t="s">
        <v>244</v>
      </c>
      <c r="H129" s="189" t="s">
        <v>244</v>
      </c>
      <c r="I129" s="189" t="s">
        <v>244</v>
      </c>
      <c r="J129" s="189" t="s">
        <v>169</v>
      </c>
      <c r="K129" s="189" t="s">
        <v>244</v>
      </c>
      <c r="L129" s="189" t="s">
        <v>244</v>
      </c>
      <c r="M129" s="190" t="s">
        <v>11</v>
      </c>
      <c r="N129" s="184"/>
    </row>
    <row r="130" spans="1:14" ht="15" x14ac:dyDescent="0.25">
      <c r="A130" s="185"/>
      <c r="B130" s="186" t="s">
        <v>255</v>
      </c>
      <c r="C130" s="186" t="s">
        <v>13</v>
      </c>
      <c r="D130" s="197">
        <v>496880</v>
      </c>
      <c r="E130" s="197">
        <v>4043340</v>
      </c>
      <c r="F130" s="198">
        <v>7491</v>
      </c>
      <c r="G130" s="189" t="s">
        <v>244</v>
      </c>
      <c r="H130" s="189" t="s">
        <v>244</v>
      </c>
      <c r="I130" s="189" t="s">
        <v>244</v>
      </c>
      <c r="J130" s="189" t="s">
        <v>169</v>
      </c>
      <c r="K130" s="189" t="s">
        <v>244</v>
      </c>
      <c r="L130" s="189" t="s">
        <v>244</v>
      </c>
      <c r="M130" s="190" t="s">
        <v>11</v>
      </c>
      <c r="N130" s="184"/>
    </row>
    <row r="131" spans="1:14" ht="15" x14ac:dyDescent="0.25">
      <c r="A131" s="191">
        <v>2019</v>
      </c>
      <c r="B131" s="192" t="s">
        <v>305</v>
      </c>
      <c r="C131" s="192" t="s">
        <v>11</v>
      </c>
      <c r="D131" s="193">
        <v>482203.13</v>
      </c>
      <c r="E131" s="193">
        <v>4032785.4142999998</v>
      </c>
      <c r="F131" s="194">
        <v>9874.788998</v>
      </c>
      <c r="G131" s="195"/>
      <c r="H131" s="195"/>
      <c r="I131" s="195" t="s">
        <v>244</v>
      </c>
      <c r="J131" s="195" t="s">
        <v>169</v>
      </c>
      <c r="K131" s="195" t="s">
        <v>244</v>
      </c>
      <c r="L131" s="195"/>
      <c r="M131" s="196" t="s">
        <v>11</v>
      </c>
      <c r="N131" s="184"/>
    </row>
    <row r="132" spans="1:14" ht="15" x14ac:dyDescent="0.25">
      <c r="A132" s="185"/>
      <c r="B132" s="186" t="s">
        <v>101</v>
      </c>
      <c r="C132" s="186" t="s">
        <v>12</v>
      </c>
      <c r="D132" s="187">
        <v>491849</v>
      </c>
      <c r="E132" s="187">
        <v>4049566</v>
      </c>
      <c r="F132" s="188">
        <v>8438</v>
      </c>
      <c r="G132" s="189" t="s">
        <v>244</v>
      </c>
      <c r="H132" s="189" t="s">
        <v>244</v>
      </c>
      <c r="I132" s="189" t="s">
        <v>169</v>
      </c>
      <c r="J132" s="189" t="s">
        <v>244</v>
      </c>
      <c r="K132" s="189" t="s">
        <v>244</v>
      </c>
      <c r="L132" s="189" t="s">
        <v>244</v>
      </c>
      <c r="M132" s="190" t="s">
        <v>12</v>
      </c>
      <c r="N132" s="184"/>
    </row>
    <row r="133" spans="1:14" ht="15" x14ac:dyDescent="0.25">
      <c r="A133" s="185"/>
      <c r="B133" s="186" t="s">
        <v>102</v>
      </c>
      <c r="C133" s="186" t="s">
        <v>13</v>
      </c>
      <c r="D133" s="187">
        <v>490259</v>
      </c>
      <c r="E133" s="187">
        <v>4041146</v>
      </c>
      <c r="F133" s="188">
        <v>9193</v>
      </c>
      <c r="G133" s="189" t="s">
        <v>244</v>
      </c>
      <c r="H133" s="189" t="s">
        <v>244</v>
      </c>
      <c r="I133" s="189" t="s">
        <v>169</v>
      </c>
      <c r="J133" s="189" t="s">
        <v>244</v>
      </c>
      <c r="K133" s="189" t="s">
        <v>244</v>
      </c>
      <c r="L133" s="189" t="s">
        <v>169</v>
      </c>
      <c r="M133" s="190" t="s">
        <v>11</v>
      </c>
      <c r="N133" s="184"/>
    </row>
    <row r="134" spans="1:14" ht="15" x14ac:dyDescent="0.25">
      <c r="A134" s="185"/>
      <c r="B134" s="186" t="s">
        <v>48</v>
      </c>
      <c r="C134" s="186" t="s">
        <v>10</v>
      </c>
      <c r="D134" s="187">
        <v>490997</v>
      </c>
      <c r="E134" s="187">
        <v>4067420</v>
      </c>
      <c r="F134" s="188">
        <v>8037</v>
      </c>
      <c r="G134" s="189" t="s">
        <v>244</v>
      </c>
      <c r="H134" s="189" t="s">
        <v>244</v>
      </c>
      <c r="I134" s="189" t="s">
        <v>244</v>
      </c>
      <c r="J134" s="189" t="s">
        <v>169</v>
      </c>
      <c r="K134" s="189" t="s">
        <v>169</v>
      </c>
      <c r="L134" s="189" t="s">
        <v>244</v>
      </c>
      <c r="M134" s="190" t="s">
        <v>12</v>
      </c>
      <c r="N134" s="184"/>
    </row>
    <row r="135" spans="1:14" ht="15" x14ac:dyDescent="0.25">
      <c r="A135" s="185"/>
      <c r="B135" s="186" t="s">
        <v>103</v>
      </c>
      <c r="C135" s="186" t="s">
        <v>13</v>
      </c>
      <c r="D135" s="187">
        <v>495940</v>
      </c>
      <c r="E135" s="187">
        <v>4033735</v>
      </c>
      <c r="F135" s="188">
        <v>8724</v>
      </c>
      <c r="G135" s="189" t="s">
        <v>244</v>
      </c>
      <c r="H135" s="189" t="s">
        <v>244</v>
      </c>
      <c r="I135" s="189" t="s">
        <v>244</v>
      </c>
      <c r="J135" s="189" t="s">
        <v>169</v>
      </c>
      <c r="K135" s="189" t="s">
        <v>169</v>
      </c>
      <c r="L135" s="189" t="s">
        <v>244</v>
      </c>
      <c r="M135" s="190" t="s">
        <v>11</v>
      </c>
      <c r="N135" s="184"/>
    </row>
    <row r="136" spans="1:14" ht="15" x14ac:dyDescent="0.25">
      <c r="A136" s="185"/>
      <c r="B136" s="186" t="s">
        <v>290</v>
      </c>
      <c r="C136" s="186" t="s">
        <v>10</v>
      </c>
      <c r="D136" s="187">
        <v>480498</v>
      </c>
      <c r="E136" s="197">
        <v>4070514</v>
      </c>
      <c r="F136" s="198">
        <v>9647</v>
      </c>
      <c r="G136" s="189" t="s">
        <v>244</v>
      </c>
      <c r="H136" s="189" t="s">
        <v>244</v>
      </c>
      <c r="I136" s="189" t="s">
        <v>244</v>
      </c>
      <c r="J136" s="189" t="s">
        <v>169</v>
      </c>
      <c r="K136" s="189" t="s">
        <v>244</v>
      </c>
      <c r="L136" s="189" t="s">
        <v>244</v>
      </c>
      <c r="M136" s="190" t="s">
        <v>12</v>
      </c>
      <c r="N136" s="184"/>
    </row>
    <row r="137" spans="1:14" ht="15" x14ac:dyDescent="0.25">
      <c r="A137" s="185"/>
      <c r="B137" s="186" t="s">
        <v>295</v>
      </c>
      <c r="C137" s="186" t="s">
        <v>10</v>
      </c>
      <c r="D137" s="197">
        <v>482669</v>
      </c>
      <c r="E137" s="197">
        <v>4069480</v>
      </c>
      <c r="F137" s="198">
        <v>9277</v>
      </c>
      <c r="G137" s="189" t="s">
        <v>244</v>
      </c>
      <c r="H137" s="189" t="s">
        <v>244</v>
      </c>
      <c r="I137" s="189" t="s">
        <v>244</v>
      </c>
      <c r="J137" s="189" t="s">
        <v>169</v>
      </c>
      <c r="K137" s="189" t="s">
        <v>244</v>
      </c>
      <c r="L137" s="189" t="s">
        <v>244</v>
      </c>
      <c r="M137" s="190" t="s">
        <v>12</v>
      </c>
      <c r="N137" s="184"/>
    </row>
    <row r="138" spans="1:14" ht="15" x14ac:dyDescent="0.25">
      <c r="A138" s="185"/>
      <c r="B138" s="186" t="s">
        <v>104</v>
      </c>
      <c r="C138" s="186" t="s">
        <v>12</v>
      </c>
      <c r="D138" s="187">
        <v>495001</v>
      </c>
      <c r="E138" s="187">
        <v>4053225</v>
      </c>
      <c r="F138" s="188">
        <v>7382</v>
      </c>
      <c r="G138" s="189" t="s">
        <v>244</v>
      </c>
      <c r="H138" s="189" t="s">
        <v>244</v>
      </c>
      <c r="I138" s="189" t="s">
        <v>244</v>
      </c>
      <c r="J138" s="189" t="s">
        <v>169</v>
      </c>
      <c r="K138" s="189" t="s">
        <v>244</v>
      </c>
      <c r="L138" s="189" t="s">
        <v>244</v>
      </c>
      <c r="M138" s="190" t="s">
        <v>12</v>
      </c>
      <c r="N138" s="184"/>
    </row>
    <row r="139" spans="1:14" ht="15" x14ac:dyDescent="0.25">
      <c r="A139" s="185"/>
      <c r="B139" s="186" t="s">
        <v>49</v>
      </c>
      <c r="C139" s="186" t="s">
        <v>12</v>
      </c>
      <c r="D139" s="197">
        <v>503191.76</v>
      </c>
      <c r="E139" s="197">
        <v>4049062.91</v>
      </c>
      <c r="F139" s="212">
        <v>6710</v>
      </c>
      <c r="G139" s="189" t="s">
        <v>244</v>
      </c>
      <c r="H139" s="189" t="s">
        <v>244</v>
      </c>
      <c r="I139" s="189" t="s">
        <v>244</v>
      </c>
      <c r="J139" s="189" t="s">
        <v>169</v>
      </c>
      <c r="K139" s="189" t="s">
        <v>244</v>
      </c>
      <c r="L139" s="189" t="s">
        <v>244</v>
      </c>
      <c r="M139" s="190" t="s">
        <v>12</v>
      </c>
      <c r="N139" s="184"/>
    </row>
    <row r="140" spans="1:14" ht="15" x14ac:dyDescent="0.25">
      <c r="A140" s="185"/>
      <c r="B140" s="186" t="s">
        <v>246</v>
      </c>
      <c r="C140" s="186" t="s">
        <v>12</v>
      </c>
      <c r="D140" s="187">
        <v>502409</v>
      </c>
      <c r="E140" s="187">
        <v>4043124</v>
      </c>
      <c r="F140" s="188">
        <v>7722</v>
      </c>
      <c r="G140" s="189" t="s">
        <v>244</v>
      </c>
      <c r="H140" s="189" t="s">
        <v>244</v>
      </c>
      <c r="I140" s="189" t="s">
        <v>244</v>
      </c>
      <c r="J140" s="189" t="s">
        <v>169</v>
      </c>
      <c r="K140" s="189" t="s">
        <v>169</v>
      </c>
      <c r="L140" s="189" t="s">
        <v>244</v>
      </c>
      <c r="M140" s="190" t="s">
        <v>12</v>
      </c>
      <c r="N140" s="184"/>
    </row>
    <row r="141" spans="1:14" ht="15" x14ac:dyDescent="0.25">
      <c r="A141" s="185"/>
      <c r="B141" s="186" t="s">
        <v>105</v>
      </c>
      <c r="C141" s="186" t="s">
        <v>11</v>
      </c>
      <c r="D141" s="187">
        <v>500015</v>
      </c>
      <c r="E141" s="187">
        <v>4032275</v>
      </c>
      <c r="F141" s="188">
        <v>7254</v>
      </c>
      <c r="G141" s="189" t="s">
        <v>244</v>
      </c>
      <c r="H141" s="189" t="s">
        <v>244</v>
      </c>
      <c r="I141" s="189" t="s">
        <v>244</v>
      </c>
      <c r="J141" s="189" t="s">
        <v>169</v>
      </c>
      <c r="K141" s="189" t="s">
        <v>244</v>
      </c>
      <c r="L141" s="189" t="s">
        <v>244</v>
      </c>
      <c r="M141" s="190" t="s">
        <v>11</v>
      </c>
      <c r="N141" s="184"/>
    </row>
    <row r="142" spans="1:14" ht="15" x14ac:dyDescent="0.25">
      <c r="A142" s="185"/>
      <c r="B142" s="186" t="s">
        <v>262</v>
      </c>
      <c r="C142" s="186" t="s">
        <v>11</v>
      </c>
      <c r="D142" s="187">
        <v>499296</v>
      </c>
      <c r="E142" s="187">
        <v>4032487</v>
      </c>
      <c r="F142" s="188">
        <v>7519</v>
      </c>
      <c r="G142" s="189" t="s">
        <v>244</v>
      </c>
      <c r="H142" s="189" t="s">
        <v>244</v>
      </c>
      <c r="I142" s="189" t="s">
        <v>244</v>
      </c>
      <c r="J142" s="189" t="s">
        <v>169</v>
      </c>
      <c r="K142" s="189" t="s">
        <v>169</v>
      </c>
      <c r="L142" s="189" t="s">
        <v>244</v>
      </c>
      <c r="M142" s="190" t="s">
        <v>11</v>
      </c>
      <c r="N142" s="184"/>
    </row>
    <row r="143" spans="1:14" ht="15" x14ac:dyDescent="0.25">
      <c r="A143" s="185"/>
      <c r="B143" s="186" t="s">
        <v>106</v>
      </c>
      <c r="C143" s="186" t="s">
        <v>13</v>
      </c>
      <c r="D143" s="187">
        <v>488492.89939999999</v>
      </c>
      <c r="E143" s="187">
        <v>4038824.1444999999</v>
      </c>
      <c r="F143" s="188">
        <v>10490</v>
      </c>
      <c r="G143" s="189" t="s">
        <v>244</v>
      </c>
      <c r="H143" s="189" t="s">
        <v>244</v>
      </c>
      <c r="I143" s="189" t="s">
        <v>244</v>
      </c>
      <c r="J143" s="189" t="s">
        <v>169</v>
      </c>
      <c r="K143" s="189" t="s">
        <v>169</v>
      </c>
      <c r="L143" s="189" t="s">
        <v>244</v>
      </c>
      <c r="M143" s="190" t="s">
        <v>11</v>
      </c>
      <c r="N143" s="184"/>
    </row>
    <row r="144" spans="1:14" ht="15" x14ac:dyDescent="0.25">
      <c r="A144" s="191">
        <v>2019</v>
      </c>
      <c r="B144" s="192" t="s">
        <v>303</v>
      </c>
      <c r="C144" s="192" t="s">
        <v>11</v>
      </c>
      <c r="D144" s="193">
        <v>480146.81</v>
      </c>
      <c r="E144" s="193">
        <v>4038306.99</v>
      </c>
      <c r="F144" s="194">
        <v>9219</v>
      </c>
      <c r="G144" s="195"/>
      <c r="H144" s="195"/>
      <c r="I144" s="195" t="s">
        <v>244</v>
      </c>
      <c r="J144" s="195" t="s">
        <v>169</v>
      </c>
      <c r="K144" s="195" t="s">
        <v>244</v>
      </c>
      <c r="L144" s="195"/>
      <c r="M144" s="196" t="s">
        <v>11</v>
      </c>
      <c r="N144" s="184"/>
    </row>
    <row r="145" spans="1:14" ht="15" x14ac:dyDescent="0.25">
      <c r="A145" s="185"/>
      <c r="B145" s="186" t="s">
        <v>107</v>
      </c>
      <c r="C145" s="186" t="s">
        <v>13</v>
      </c>
      <c r="D145" s="197">
        <v>500029.67</v>
      </c>
      <c r="E145" s="197">
        <v>4033924.75</v>
      </c>
      <c r="F145" s="198">
        <v>8240</v>
      </c>
      <c r="G145" s="189" t="s">
        <v>244</v>
      </c>
      <c r="H145" s="189" t="s">
        <v>244</v>
      </c>
      <c r="I145" s="189" t="s">
        <v>244</v>
      </c>
      <c r="J145" s="189" t="s">
        <v>169</v>
      </c>
      <c r="K145" s="189" t="s">
        <v>169</v>
      </c>
      <c r="L145" s="189" t="s">
        <v>244</v>
      </c>
      <c r="M145" s="190" t="s">
        <v>11</v>
      </c>
      <c r="N145" s="184"/>
    </row>
    <row r="146" spans="1:14" ht="15" x14ac:dyDescent="0.25">
      <c r="A146" s="185"/>
      <c r="B146" s="186" t="s">
        <v>136</v>
      </c>
      <c r="C146" s="186" t="s">
        <v>11</v>
      </c>
      <c r="D146" s="187">
        <v>500750</v>
      </c>
      <c r="E146" s="187">
        <v>4028216</v>
      </c>
      <c r="F146" s="188">
        <v>7870</v>
      </c>
      <c r="G146" s="189" t="s">
        <v>244</v>
      </c>
      <c r="H146" s="189" t="s">
        <v>244</v>
      </c>
      <c r="I146" s="189" t="s">
        <v>244</v>
      </c>
      <c r="J146" s="189" t="s">
        <v>169</v>
      </c>
      <c r="K146" s="189" t="s">
        <v>244</v>
      </c>
      <c r="L146" s="189" t="s">
        <v>244</v>
      </c>
      <c r="M146" s="190" t="s">
        <v>11</v>
      </c>
      <c r="N146" s="184"/>
    </row>
    <row r="147" spans="1:14" ht="15" x14ac:dyDescent="0.25">
      <c r="A147" s="259">
        <v>2021</v>
      </c>
      <c r="B147" s="260" t="s">
        <v>349</v>
      </c>
      <c r="C147" s="260" t="s">
        <v>12</v>
      </c>
      <c r="D147" s="261">
        <v>484936.67660000001</v>
      </c>
      <c r="E147" s="261">
        <v>4050860.9983999999</v>
      </c>
      <c r="F147" s="262">
        <v>8855</v>
      </c>
      <c r="G147" s="263"/>
      <c r="H147" s="263"/>
      <c r="I147" s="263" t="s">
        <v>244</v>
      </c>
      <c r="J147" s="263" t="s">
        <v>169</v>
      </c>
      <c r="K147" s="263" t="s">
        <v>244</v>
      </c>
      <c r="L147" s="263"/>
      <c r="M147" s="264" t="s">
        <v>12</v>
      </c>
      <c r="N147" s="184"/>
    </row>
    <row r="148" spans="1:14" ht="15" x14ac:dyDescent="0.25">
      <c r="A148" s="185"/>
      <c r="B148" s="186" t="s">
        <v>251</v>
      </c>
      <c r="C148" s="186" t="s">
        <v>12</v>
      </c>
      <c r="D148" s="197">
        <v>499226</v>
      </c>
      <c r="E148" s="197">
        <v>4049865</v>
      </c>
      <c r="F148" s="198">
        <v>7070</v>
      </c>
      <c r="G148" s="189" t="s">
        <v>244</v>
      </c>
      <c r="H148" s="189" t="s">
        <v>244</v>
      </c>
      <c r="I148" s="189" t="s">
        <v>244</v>
      </c>
      <c r="J148" s="189" t="s">
        <v>169</v>
      </c>
      <c r="K148" s="189" t="s">
        <v>244</v>
      </c>
      <c r="L148" s="189" t="s">
        <v>244</v>
      </c>
      <c r="M148" s="190" t="s">
        <v>12</v>
      </c>
      <c r="N148" s="184"/>
    </row>
    <row r="149" spans="1:14" ht="15" x14ac:dyDescent="0.25">
      <c r="A149" s="185"/>
      <c r="B149" s="186" t="s">
        <v>108</v>
      </c>
      <c r="C149" s="186" t="s">
        <v>12</v>
      </c>
      <c r="D149" s="187">
        <v>498097</v>
      </c>
      <c r="E149" s="187">
        <v>4046582</v>
      </c>
      <c r="F149" s="188">
        <v>7569</v>
      </c>
      <c r="G149" s="189" t="s">
        <v>244</v>
      </c>
      <c r="H149" s="189" t="s">
        <v>244</v>
      </c>
      <c r="I149" s="189" t="s">
        <v>244</v>
      </c>
      <c r="J149" s="189" t="s">
        <v>169</v>
      </c>
      <c r="K149" s="189" t="s">
        <v>244</v>
      </c>
      <c r="L149" s="189" t="s">
        <v>244</v>
      </c>
      <c r="M149" s="190" t="s">
        <v>12</v>
      </c>
      <c r="N149" s="184"/>
    </row>
    <row r="150" spans="1:14" ht="15" x14ac:dyDescent="0.25">
      <c r="A150" s="185"/>
      <c r="B150" s="186" t="s">
        <v>137</v>
      </c>
      <c r="C150" s="186" t="s">
        <v>13</v>
      </c>
      <c r="D150" s="187">
        <v>494832</v>
      </c>
      <c r="E150" s="187">
        <v>4043955</v>
      </c>
      <c r="F150" s="188">
        <v>8161</v>
      </c>
      <c r="G150" s="189" t="s">
        <v>244</v>
      </c>
      <c r="H150" s="189" t="s">
        <v>244</v>
      </c>
      <c r="I150" s="189" t="s">
        <v>244</v>
      </c>
      <c r="J150" s="189" t="s">
        <v>169</v>
      </c>
      <c r="K150" s="189" t="s">
        <v>169</v>
      </c>
      <c r="L150" s="189" t="s">
        <v>244</v>
      </c>
      <c r="M150" s="190" t="s">
        <v>11</v>
      </c>
      <c r="N150" s="184"/>
    </row>
    <row r="151" spans="1:14" ht="15" x14ac:dyDescent="0.25">
      <c r="A151" s="185"/>
      <c r="B151" s="186" t="s">
        <v>50</v>
      </c>
      <c r="C151" s="186" t="s">
        <v>13</v>
      </c>
      <c r="D151" s="187">
        <v>495583</v>
      </c>
      <c r="E151" s="187">
        <v>4034947</v>
      </c>
      <c r="F151" s="188">
        <v>7902</v>
      </c>
      <c r="G151" s="189" t="s">
        <v>244</v>
      </c>
      <c r="H151" s="189" t="s">
        <v>244</v>
      </c>
      <c r="I151" s="189" t="s">
        <v>244</v>
      </c>
      <c r="J151" s="189" t="s">
        <v>169</v>
      </c>
      <c r="K151" s="189" t="s">
        <v>169</v>
      </c>
      <c r="L151" s="189" t="s">
        <v>244</v>
      </c>
      <c r="M151" s="190" t="s">
        <v>11</v>
      </c>
      <c r="N151" s="184"/>
    </row>
    <row r="152" spans="1:14" ht="15" x14ac:dyDescent="0.25">
      <c r="A152" s="185"/>
      <c r="B152" s="186" t="s">
        <v>109</v>
      </c>
      <c r="C152" s="186" t="s">
        <v>12</v>
      </c>
      <c r="D152" s="187">
        <v>492036</v>
      </c>
      <c r="E152" s="187">
        <v>4050785</v>
      </c>
      <c r="F152" s="188">
        <v>8254</v>
      </c>
      <c r="G152" s="189" t="s">
        <v>244</v>
      </c>
      <c r="H152" s="189" t="s">
        <v>244</v>
      </c>
      <c r="I152" s="189" t="s">
        <v>244</v>
      </c>
      <c r="J152" s="189" t="s">
        <v>169</v>
      </c>
      <c r="K152" s="189" t="s">
        <v>244</v>
      </c>
      <c r="L152" s="189" t="s">
        <v>244</v>
      </c>
      <c r="M152" s="190" t="s">
        <v>12</v>
      </c>
      <c r="N152" s="184"/>
    </row>
    <row r="153" spans="1:14" ht="15" x14ac:dyDescent="0.25">
      <c r="A153" s="185"/>
      <c r="B153" s="186" t="s">
        <v>207</v>
      </c>
      <c r="C153" s="186" t="s">
        <v>10</v>
      </c>
      <c r="D153" s="197">
        <v>479874.12530000001</v>
      </c>
      <c r="E153" s="197">
        <v>4056510.7667999999</v>
      </c>
      <c r="F153" s="198">
        <v>10262.665999999999</v>
      </c>
      <c r="G153" s="189" t="s">
        <v>244</v>
      </c>
      <c r="H153" s="189" t="s">
        <v>244</v>
      </c>
      <c r="I153" s="189" t="s">
        <v>244</v>
      </c>
      <c r="J153" s="189" t="s">
        <v>169</v>
      </c>
      <c r="K153" s="189" t="s">
        <v>244</v>
      </c>
      <c r="L153" s="189" t="s">
        <v>244</v>
      </c>
      <c r="M153" s="190" t="s">
        <v>12</v>
      </c>
      <c r="N153" s="184"/>
    </row>
    <row r="154" spans="1:14" ht="15" x14ac:dyDescent="0.25">
      <c r="A154" s="185"/>
      <c r="B154" s="186" t="s">
        <v>204</v>
      </c>
      <c r="C154" s="186" t="s">
        <v>13</v>
      </c>
      <c r="D154" s="197">
        <v>491866.71</v>
      </c>
      <c r="E154" s="187">
        <v>4041590</v>
      </c>
      <c r="F154" s="188">
        <v>8611</v>
      </c>
      <c r="G154" s="189" t="s">
        <v>244</v>
      </c>
      <c r="H154" s="189" t="s">
        <v>244</v>
      </c>
      <c r="I154" s="189" t="s">
        <v>244</v>
      </c>
      <c r="J154" s="189" t="s">
        <v>169</v>
      </c>
      <c r="K154" s="189" t="s">
        <v>244</v>
      </c>
      <c r="L154" s="189" t="s">
        <v>244</v>
      </c>
      <c r="M154" s="190" t="s">
        <v>11</v>
      </c>
      <c r="N154" s="184"/>
    </row>
    <row r="155" spans="1:14" ht="30" x14ac:dyDescent="0.25">
      <c r="A155" s="379">
        <v>2022</v>
      </c>
      <c r="B155" s="380" t="s">
        <v>413</v>
      </c>
      <c r="C155" s="380" t="s">
        <v>13</v>
      </c>
      <c r="D155" s="381">
        <v>492935.53470000002</v>
      </c>
      <c r="E155" s="382">
        <v>4039576.3048999999</v>
      </c>
      <c r="F155" s="383">
        <v>8764</v>
      </c>
      <c r="G155" s="384"/>
      <c r="H155" s="384"/>
      <c r="I155" s="384" t="s">
        <v>244</v>
      </c>
      <c r="J155" s="384" t="s">
        <v>169</v>
      </c>
      <c r="K155" s="384" t="s">
        <v>244</v>
      </c>
      <c r="L155" s="384"/>
      <c r="M155" s="385" t="s">
        <v>11</v>
      </c>
      <c r="N155" s="184" t="s">
        <v>466</v>
      </c>
    </row>
    <row r="156" spans="1:14" ht="15" x14ac:dyDescent="0.25">
      <c r="A156" s="185"/>
      <c r="B156" s="186" t="s">
        <v>110</v>
      </c>
      <c r="C156" s="186" t="s">
        <v>11</v>
      </c>
      <c r="D156" s="187">
        <v>500851</v>
      </c>
      <c r="E156" s="187">
        <v>4029314</v>
      </c>
      <c r="F156" s="188">
        <v>7968</v>
      </c>
      <c r="G156" s="189" t="s">
        <v>244</v>
      </c>
      <c r="H156" s="189" t="s">
        <v>244</v>
      </c>
      <c r="I156" s="189" t="s">
        <v>169</v>
      </c>
      <c r="J156" s="189" t="s">
        <v>244</v>
      </c>
      <c r="K156" s="189" t="s">
        <v>244</v>
      </c>
      <c r="L156" s="189" t="s">
        <v>244</v>
      </c>
      <c r="M156" s="190" t="s">
        <v>11</v>
      </c>
      <c r="N156" s="184"/>
    </row>
    <row r="157" spans="1:14" ht="15" x14ac:dyDescent="0.25">
      <c r="A157" s="185"/>
      <c r="B157" s="186" t="s">
        <v>256</v>
      </c>
      <c r="C157" s="186" t="s">
        <v>13</v>
      </c>
      <c r="D157" s="197">
        <v>494653</v>
      </c>
      <c r="E157" s="197">
        <v>4041249</v>
      </c>
      <c r="F157" s="188">
        <v>7866</v>
      </c>
      <c r="G157" s="189" t="s">
        <v>169</v>
      </c>
      <c r="H157" s="189" t="s">
        <v>169</v>
      </c>
      <c r="I157" s="189" t="s">
        <v>169</v>
      </c>
      <c r="J157" s="189" t="s">
        <v>244</v>
      </c>
      <c r="K157" s="189" t="s">
        <v>244</v>
      </c>
      <c r="L157" s="189" t="s">
        <v>244</v>
      </c>
      <c r="M157" s="190" t="s">
        <v>11</v>
      </c>
      <c r="N157" s="184"/>
    </row>
    <row r="158" spans="1:14" ht="15" x14ac:dyDescent="0.25">
      <c r="A158" s="185"/>
      <c r="B158" s="186" t="s">
        <v>111</v>
      </c>
      <c r="C158" s="186" t="s">
        <v>12</v>
      </c>
      <c r="D158" s="187">
        <v>483892</v>
      </c>
      <c r="E158" s="187">
        <v>4052643</v>
      </c>
      <c r="F158" s="188">
        <v>9164</v>
      </c>
      <c r="G158" s="189" t="s">
        <v>244</v>
      </c>
      <c r="H158" s="189" t="s">
        <v>244</v>
      </c>
      <c r="I158" s="189" t="s">
        <v>244</v>
      </c>
      <c r="J158" s="189" t="s">
        <v>169</v>
      </c>
      <c r="K158" s="189" t="s">
        <v>244</v>
      </c>
      <c r="L158" s="189" t="s">
        <v>244</v>
      </c>
      <c r="M158" s="190" t="s">
        <v>12</v>
      </c>
      <c r="N158" s="184"/>
    </row>
    <row r="159" spans="1:14" ht="15" x14ac:dyDescent="0.25">
      <c r="A159" s="185"/>
      <c r="B159" s="186" t="s">
        <v>257</v>
      </c>
      <c r="C159" s="186" t="s">
        <v>13</v>
      </c>
      <c r="D159" s="187">
        <v>493784</v>
      </c>
      <c r="E159" s="187">
        <v>4042291</v>
      </c>
      <c r="F159" s="188">
        <v>8258</v>
      </c>
      <c r="G159" s="189" t="s">
        <v>244</v>
      </c>
      <c r="H159" s="189" t="s">
        <v>244</v>
      </c>
      <c r="I159" s="189" t="s">
        <v>244</v>
      </c>
      <c r="J159" s="189" t="s">
        <v>169</v>
      </c>
      <c r="K159" s="189" t="s">
        <v>244</v>
      </c>
      <c r="L159" s="189" t="s">
        <v>244</v>
      </c>
      <c r="M159" s="190" t="s">
        <v>11</v>
      </c>
      <c r="N159" s="184"/>
    </row>
    <row r="160" spans="1:14" ht="15" x14ac:dyDescent="0.25">
      <c r="A160" s="185"/>
      <c r="B160" s="186" t="s">
        <v>112</v>
      </c>
      <c r="C160" s="186" t="s">
        <v>13</v>
      </c>
      <c r="D160" s="187">
        <v>495177</v>
      </c>
      <c r="E160" s="187">
        <v>4040114</v>
      </c>
      <c r="F160" s="188">
        <v>7689</v>
      </c>
      <c r="G160" s="189" t="s">
        <v>244</v>
      </c>
      <c r="H160" s="189" t="s">
        <v>244</v>
      </c>
      <c r="I160" s="189" t="s">
        <v>244</v>
      </c>
      <c r="J160" s="189" t="s">
        <v>169</v>
      </c>
      <c r="K160" s="189" t="s">
        <v>244</v>
      </c>
      <c r="L160" s="189" t="s">
        <v>244</v>
      </c>
      <c r="M160" s="190" t="s">
        <v>11</v>
      </c>
      <c r="N160" s="184"/>
    </row>
    <row r="161" spans="1:14" ht="15" x14ac:dyDescent="0.25">
      <c r="A161" s="185"/>
      <c r="B161" s="186" t="s">
        <v>113</v>
      </c>
      <c r="C161" s="186" t="s">
        <v>13</v>
      </c>
      <c r="D161" s="187">
        <v>499148</v>
      </c>
      <c r="E161" s="187">
        <v>4041252</v>
      </c>
      <c r="F161" s="188">
        <v>7415</v>
      </c>
      <c r="G161" s="189" t="s">
        <v>244</v>
      </c>
      <c r="H161" s="189" t="s">
        <v>244</v>
      </c>
      <c r="I161" s="189" t="s">
        <v>244</v>
      </c>
      <c r="J161" s="189" t="s">
        <v>169</v>
      </c>
      <c r="K161" s="189" t="s">
        <v>244</v>
      </c>
      <c r="L161" s="189" t="s">
        <v>244</v>
      </c>
      <c r="M161" s="190" t="s">
        <v>11</v>
      </c>
      <c r="N161" s="184"/>
    </row>
    <row r="162" spans="1:14" ht="15" x14ac:dyDescent="0.25">
      <c r="A162" s="185"/>
      <c r="B162" s="186" t="s">
        <v>114</v>
      </c>
      <c r="C162" s="186" t="s">
        <v>13</v>
      </c>
      <c r="D162" s="187">
        <v>493983</v>
      </c>
      <c r="E162" s="187">
        <v>4045668</v>
      </c>
      <c r="F162" s="188">
        <v>7782</v>
      </c>
      <c r="G162" s="189" t="s">
        <v>244</v>
      </c>
      <c r="H162" s="189" t="s">
        <v>244</v>
      </c>
      <c r="I162" s="189" t="s">
        <v>244</v>
      </c>
      <c r="J162" s="189" t="s">
        <v>169</v>
      </c>
      <c r="K162" s="189" t="s">
        <v>244</v>
      </c>
      <c r="L162" s="189" t="s">
        <v>244</v>
      </c>
      <c r="M162" s="190" t="s">
        <v>11</v>
      </c>
      <c r="N162" s="184"/>
    </row>
    <row r="163" spans="1:14" ht="15" x14ac:dyDescent="0.25">
      <c r="A163" s="185"/>
      <c r="B163" s="186" t="s">
        <v>213</v>
      </c>
      <c r="C163" s="186" t="s">
        <v>13</v>
      </c>
      <c r="D163" s="187">
        <v>497835</v>
      </c>
      <c r="E163" s="187">
        <v>4037406</v>
      </c>
      <c r="F163" s="188">
        <v>7122</v>
      </c>
      <c r="G163" s="189" t="s">
        <v>244</v>
      </c>
      <c r="H163" s="189" t="s">
        <v>244</v>
      </c>
      <c r="I163" s="189" t="s">
        <v>244</v>
      </c>
      <c r="J163" s="189" t="s">
        <v>169</v>
      </c>
      <c r="K163" s="189" t="s">
        <v>244</v>
      </c>
      <c r="L163" s="189" t="s">
        <v>244</v>
      </c>
      <c r="M163" s="190" t="s">
        <v>11</v>
      </c>
      <c r="N163" s="184"/>
    </row>
    <row r="164" spans="1:14" ht="30" x14ac:dyDescent="0.25">
      <c r="A164" s="662"/>
      <c r="B164" s="663" t="s">
        <v>202</v>
      </c>
      <c r="C164" s="663" t="s">
        <v>13</v>
      </c>
      <c r="D164" s="664">
        <v>492939.82</v>
      </c>
      <c r="E164" s="664">
        <v>4039509.952</v>
      </c>
      <c r="F164" s="668">
        <v>8611.1200000000008</v>
      </c>
      <c r="G164" s="666" t="s">
        <v>244</v>
      </c>
      <c r="H164" s="666" t="s">
        <v>244</v>
      </c>
      <c r="I164" s="666" t="s">
        <v>244</v>
      </c>
      <c r="J164" s="666" t="s">
        <v>169</v>
      </c>
      <c r="K164" s="666" t="s">
        <v>169</v>
      </c>
      <c r="L164" s="666" t="s">
        <v>244</v>
      </c>
      <c r="M164" s="667" t="s">
        <v>11</v>
      </c>
      <c r="N164" s="184" t="s">
        <v>466</v>
      </c>
    </row>
    <row r="165" spans="1:14" ht="15" x14ac:dyDescent="0.25">
      <c r="A165" s="185"/>
      <c r="B165" s="186" t="s">
        <v>291</v>
      </c>
      <c r="C165" s="186" t="s">
        <v>13</v>
      </c>
      <c r="D165" s="199">
        <v>489586.4</v>
      </c>
      <c r="E165" s="199">
        <v>4039243.3</v>
      </c>
      <c r="F165" s="212">
        <v>10052</v>
      </c>
      <c r="G165" s="189" t="s">
        <v>244</v>
      </c>
      <c r="H165" s="189" t="s">
        <v>244</v>
      </c>
      <c r="I165" s="189" t="s">
        <v>244</v>
      </c>
      <c r="J165" s="189" t="s">
        <v>169</v>
      </c>
      <c r="K165" s="189" t="s">
        <v>244</v>
      </c>
      <c r="L165" s="189" t="s">
        <v>244</v>
      </c>
      <c r="M165" s="190" t="s">
        <v>11</v>
      </c>
      <c r="N165" s="184"/>
    </row>
    <row r="166" spans="1:14" ht="15" x14ac:dyDescent="0.25">
      <c r="A166" s="185"/>
      <c r="B166" s="186" t="s">
        <v>51</v>
      </c>
      <c r="C166" s="186" t="s">
        <v>10</v>
      </c>
      <c r="D166" s="187">
        <v>490820</v>
      </c>
      <c r="E166" s="187">
        <v>4072011</v>
      </c>
      <c r="F166" s="188">
        <v>8061</v>
      </c>
      <c r="G166" s="189" t="s">
        <v>244</v>
      </c>
      <c r="H166" s="189" t="s">
        <v>244</v>
      </c>
      <c r="I166" s="189" t="s">
        <v>169</v>
      </c>
      <c r="J166" s="189" t="s">
        <v>244</v>
      </c>
      <c r="K166" s="189" t="s">
        <v>244</v>
      </c>
      <c r="L166" s="189" t="s">
        <v>244</v>
      </c>
      <c r="M166" s="190" t="s">
        <v>12</v>
      </c>
      <c r="N166" s="184"/>
    </row>
    <row r="167" spans="1:14" ht="15" x14ac:dyDescent="0.25">
      <c r="A167" s="185"/>
      <c r="B167" s="186" t="s">
        <v>115</v>
      </c>
      <c r="C167" s="186" t="s">
        <v>11</v>
      </c>
      <c r="D167" s="187">
        <v>484174</v>
      </c>
      <c r="E167" s="187">
        <v>4032864</v>
      </c>
      <c r="F167" s="188">
        <v>10420</v>
      </c>
      <c r="G167" s="189" t="s">
        <v>244</v>
      </c>
      <c r="H167" s="189" t="s">
        <v>244</v>
      </c>
      <c r="I167" s="189" t="s">
        <v>244</v>
      </c>
      <c r="J167" s="189" t="s">
        <v>169</v>
      </c>
      <c r="K167" s="189" t="s">
        <v>244</v>
      </c>
      <c r="L167" s="189" t="s">
        <v>244</v>
      </c>
      <c r="M167" s="190" t="s">
        <v>11</v>
      </c>
      <c r="N167" s="184"/>
    </row>
    <row r="168" spans="1:14" ht="15" x14ac:dyDescent="0.25">
      <c r="A168" s="214">
        <v>2019</v>
      </c>
      <c r="B168" s="192" t="s">
        <v>309</v>
      </c>
      <c r="C168" s="192" t="s">
        <v>11</v>
      </c>
      <c r="D168" s="193">
        <v>481273.93</v>
      </c>
      <c r="E168" s="193">
        <v>4030849.05</v>
      </c>
      <c r="F168" s="194">
        <v>9883</v>
      </c>
      <c r="G168" s="195"/>
      <c r="H168" s="195"/>
      <c r="I168" s="195" t="s">
        <v>244</v>
      </c>
      <c r="J168" s="195" t="s">
        <v>169</v>
      </c>
      <c r="K168" s="195" t="s">
        <v>244</v>
      </c>
      <c r="L168" s="195"/>
      <c r="M168" s="196" t="s">
        <v>12</v>
      </c>
      <c r="N168" s="184"/>
    </row>
    <row r="169" spans="1:14" ht="15" x14ac:dyDescent="0.25">
      <c r="A169" s="185"/>
      <c r="B169" s="186" t="s">
        <v>52</v>
      </c>
      <c r="C169" s="186" t="s">
        <v>13</v>
      </c>
      <c r="D169" s="199"/>
      <c r="E169" s="199"/>
      <c r="F169" s="198">
        <v>8312</v>
      </c>
      <c r="G169" s="189" t="s">
        <v>244</v>
      </c>
      <c r="H169" s="189" t="s">
        <v>244</v>
      </c>
      <c r="I169" s="189" t="s">
        <v>244</v>
      </c>
      <c r="J169" s="189" t="s">
        <v>169</v>
      </c>
      <c r="K169" s="189" t="s">
        <v>169</v>
      </c>
      <c r="L169" s="189" t="s">
        <v>244</v>
      </c>
      <c r="M169" s="190" t="s">
        <v>11</v>
      </c>
      <c r="N169" s="184"/>
    </row>
    <row r="170" spans="1:14" ht="15.75" thickBot="1" x14ac:dyDescent="0.3">
      <c r="A170" s="215"/>
      <c r="B170" s="216" t="s">
        <v>116</v>
      </c>
      <c r="C170" s="216" t="s">
        <v>11</v>
      </c>
      <c r="D170" s="217">
        <v>500378</v>
      </c>
      <c r="E170" s="217">
        <v>4025857</v>
      </c>
      <c r="F170" s="218">
        <v>6946</v>
      </c>
      <c r="G170" s="219" t="s">
        <v>169</v>
      </c>
      <c r="H170" s="219" t="s">
        <v>244</v>
      </c>
      <c r="I170" s="219" t="s">
        <v>169</v>
      </c>
      <c r="J170" s="219" t="s">
        <v>244</v>
      </c>
      <c r="K170" s="219" t="s">
        <v>244</v>
      </c>
      <c r="L170" s="219" t="s">
        <v>169</v>
      </c>
      <c r="M170" s="220" t="s">
        <v>11</v>
      </c>
      <c r="N170" s="184"/>
    </row>
    <row r="171" spans="1:14" ht="15" x14ac:dyDescent="0.25">
      <c r="B171" s="182"/>
      <c r="C171" s="183"/>
      <c r="D171" s="1286" t="s">
        <v>364</v>
      </c>
      <c r="E171" s="1286"/>
      <c r="F171" s="1286"/>
      <c r="G171" s="1286"/>
      <c r="H171" s="1286"/>
      <c r="I171" s="1286"/>
      <c r="J171" s="1286"/>
      <c r="K171" s="1286"/>
      <c r="L171" s="1286"/>
      <c r="M171" s="1286"/>
      <c r="N171" s="41"/>
    </row>
  </sheetData>
  <sortState xmlns:xlrd2="http://schemas.microsoft.com/office/spreadsheetml/2017/richdata2" ref="A2:S170">
    <sortCondition ref="B2:B170"/>
  </sortState>
  <mergeCells count="2">
    <mergeCell ref="D171:M171"/>
    <mergeCell ref="N104:N105"/>
  </mergeCells>
  <phoneticPr fontId="0" type="noConversion"/>
  <pageMargins left="0.75" right="0.75" top="1" bottom="1" header="0.5" footer="0.5"/>
  <pageSetup orientation="portrait" horizontalDpi="4294967293"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2</vt:i4>
      </vt:variant>
      <vt:variant>
        <vt:lpstr>Named Ranges</vt:lpstr>
      </vt:variant>
      <vt:variant>
        <vt:i4>164</vt:i4>
      </vt:variant>
    </vt:vector>
  </HeadingPairs>
  <TitlesOfParts>
    <vt:vector size="182" baseType="lpstr">
      <vt:lpstr>Instructions</vt:lpstr>
      <vt:lpstr>Preferences</vt:lpstr>
      <vt:lpstr>Scores</vt:lpstr>
      <vt:lpstr>Results</vt:lpstr>
      <vt:lpstr>Itinerary Details</vt:lpstr>
      <vt:lpstr>Itinerary Xref Chart</vt:lpstr>
      <vt:lpstr>Tables</vt:lpstr>
      <vt:lpstr>Detail Informaton</vt:lpstr>
      <vt:lpstr>itineraryCamps</vt:lpstr>
      <vt:lpstr>ItineraryPrograms</vt:lpstr>
      <vt:lpstr>Descriptions</vt:lpstr>
      <vt:lpstr>Calculator</vt:lpstr>
      <vt:lpstr>Itineraries</vt:lpstr>
      <vt:lpstr>Programs</vt:lpstr>
      <vt:lpstr>Camp Programs</vt:lpstr>
      <vt:lpstr>Camp Elevations</vt:lpstr>
      <vt:lpstr>Itinerary Chart</vt:lpstr>
      <vt:lpstr>Program Chart</vt:lpstr>
      <vt:lpstr>activityValues</vt:lpstr>
      <vt:lpstr>altitudeChange</vt:lpstr>
      <vt:lpstr>altitudeDaily</vt:lpstr>
      <vt:lpstr>altitudeMax</vt:lpstr>
      <vt:lpstr>areaDefaults</vt:lpstr>
      <vt:lpstr>areaImportant</vt:lpstr>
      <vt:lpstr>baldyMountainHike</vt:lpstr>
      <vt:lpstr>calcFactors</vt:lpstr>
      <vt:lpstr>calculatedScores</vt:lpstr>
      <vt:lpstr>Camp_Country</vt:lpstr>
      <vt:lpstr>campInfo</vt:lpstr>
      <vt:lpstr>campLocation</vt:lpstr>
      <vt:lpstr>campMap</vt:lpstr>
      <vt:lpstr>camps</vt:lpstr>
      <vt:lpstr>campsByItinerary</vt:lpstr>
      <vt:lpstr>campType</vt:lpstr>
      <vt:lpstr>classification</vt:lpstr>
      <vt:lpstr>climbBaldy</vt:lpstr>
      <vt:lpstr>climbInspirationPoint</vt:lpstr>
      <vt:lpstr>climbOthers</vt:lpstr>
      <vt:lpstr>climbPhillips</vt:lpstr>
      <vt:lpstr>climbTooth</vt:lpstr>
      <vt:lpstr>climbTrail</vt:lpstr>
      <vt:lpstr>Commissary</vt:lpstr>
      <vt:lpstr>country</vt:lpstr>
      <vt:lpstr>countryRanks</vt:lpstr>
      <vt:lpstr>descriptions</vt:lpstr>
      <vt:lpstr>difficultDelta</vt:lpstr>
      <vt:lpstr>difficultyCode</vt:lpstr>
      <vt:lpstr>difficultyTable</vt:lpstr>
      <vt:lpstr>distance</vt:lpstr>
      <vt:lpstr>Dry</vt:lpstr>
      <vt:lpstr>dryCamps</vt:lpstr>
      <vt:lpstr>Easting</vt:lpstr>
      <vt:lpstr>Elevations</vt:lpstr>
      <vt:lpstr>endingTA</vt:lpstr>
      <vt:lpstr>foodPickups</vt:lpstr>
      <vt:lpstr>foodPUdays</vt:lpstr>
      <vt:lpstr>foodPUfirst</vt:lpstr>
      <vt:lpstr>graphData</vt:lpstr>
      <vt:lpstr>'Itinerary Details'!hiddenstuff</vt:lpstr>
      <vt:lpstr>hikeIn</vt:lpstr>
      <vt:lpstr>hikeOut</vt:lpstr>
      <vt:lpstr>iAltitudes</vt:lpstr>
      <vt:lpstr>iCentral</vt:lpstr>
      <vt:lpstr>iDailyChange</vt:lpstr>
      <vt:lpstr>iDaysFood</vt:lpstr>
      <vt:lpstr>iDryCamps</vt:lpstr>
      <vt:lpstr>iFoodFromHQ</vt:lpstr>
      <vt:lpstr>iLayovers</vt:lpstr>
      <vt:lpstr>iMaxAltitude</vt:lpstr>
      <vt:lpstr>iNorth</vt:lpstr>
      <vt:lpstr>inspirationPointHike</vt:lpstr>
      <vt:lpstr>instructionsHeading</vt:lpstr>
      <vt:lpstr>iSouth</vt:lpstr>
      <vt:lpstr>iStaffCamps</vt:lpstr>
      <vt:lpstr>itinAltitudes</vt:lpstr>
      <vt:lpstr>itinCampsiteLabel</vt:lpstr>
      <vt:lpstr>itineraryCamps</vt:lpstr>
      <vt:lpstr>itineraryChallenging</vt:lpstr>
      <vt:lpstr>itineraryCountry</vt:lpstr>
      <vt:lpstr>itineraryCrossing</vt:lpstr>
      <vt:lpstr>itineraryDry</vt:lpstr>
      <vt:lpstr>itineraryLabels</vt:lpstr>
      <vt:lpstr>itineraryLayover</vt:lpstr>
      <vt:lpstr>itineraryMaps</vt:lpstr>
      <vt:lpstr>itineraryMessage</vt:lpstr>
      <vt:lpstr>itineraryNoPrefix</vt:lpstr>
      <vt:lpstr>itineraryNumber</vt:lpstr>
      <vt:lpstr>itineraryNumbers</vt:lpstr>
      <vt:lpstr>itineraryPrograms</vt:lpstr>
      <vt:lpstr>itineraryResult</vt:lpstr>
      <vt:lpstr>itineraryRugged</vt:lpstr>
      <vt:lpstr>itineraryStaff</vt:lpstr>
      <vt:lpstr>itineraryStrenuous</vt:lpstr>
      <vt:lpstr>itinerarySuperStrenuous</vt:lpstr>
      <vt:lpstr>itineraryTrail</vt:lpstr>
      <vt:lpstr>ItineraryPrograms!itineraryValues</vt:lpstr>
      <vt:lpstr>itineraryXref</vt:lpstr>
      <vt:lpstr>'Itinerary Details'!itinExpeditionNo</vt:lpstr>
      <vt:lpstr>itotalCamps</vt:lpstr>
      <vt:lpstr>iTrailCamps</vt:lpstr>
      <vt:lpstr>iValleVidal</vt:lpstr>
      <vt:lpstr>maxAlt</vt:lpstr>
      <vt:lpstr>maxChg</vt:lpstr>
      <vt:lpstr>maxDifficult</vt:lpstr>
      <vt:lpstr>maxSkill</vt:lpstr>
      <vt:lpstr>meanMedian</vt:lpstr>
      <vt:lpstr>mileageFactor</vt:lpstr>
      <vt:lpstr>minAlt</vt:lpstr>
      <vt:lpstr>minChg</vt:lpstr>
      <vt:lpstr>minMaxScore</vt:lpstr>
      <vt:lpstr>minMaxValue</vt:lpstr>
      <vt:lpstr>mountaineeringHike</vt:lpstr>
      <vt:lpstr>mountPhillipsHike</vt:lpstr>
      <vt:lpstr>nCamps</vt:lpstr>
      <vt:lpstr>nCampsByCountry</vt:lpstr>
      <vt:lpstr>nDays</vt:lpstr>
      <vt:lpstr>nItineraries</vt:lpstr>
      <vt:lpstr>Northing</vt:lpstr>
      <vt:lpstr>nPrograms</vt:lpstr>
      <vt:lpstr>nShowers</vt:lpstr>
      <vt:lpstr>peaks</vt:lpstr>
      <vt:lpstr>pgmItinXref</vt:lpstr>
      <vt:lpstr>'Camp Programs'!Print_Area</vt:lpstr>
      <vt:lpstr>'Detail Informaton'!Print_Area</vt:lpstr>
      <vt:lpstr>Instructions!Print_Area</vt:lpstr>
      <vt:lpstr>'Itinerary Details'!Print_Area</vt:lpstr>
      <vt:lpstr>'Itinerary Xref Chart'!Print_Area</vt:lpstr>
      <vt:lpstr>ItineraryPrograms!Print_Area</vt:lpstr>
      <vt:lpstr>Preferences!Print_Area</vt:lpstr>
      <vt:lpstr>Programs!Print_Area</vt:lpstr>
      <vt:lpstr>Results!Print_Area</vt:lpstr>
      <vt:lpstr>Scores!Print_Area</vt:lpstr>
      <vt:lpstr>Tables!Print_Area</vt:lpstr>
      <vt:lpstr>'Camp Programs'!Print_Titles</vt:lpstr>
      <vt:lpstr>program_table</vt:lpstr>
      <vt:lpstr>programCalculatedValues</vt:lpstr>
      <vt:lpstr>programFactor</vt:lpstr>
      <vt:lpstr>programs</vt:lpstr>
      <vt:lpstr>programsForCamp</vt:lpstr>
      <vt:lpstr>programsImportant</vt:lpstr>
      <vt:lpstr>programValues</vt:lpstr>
      <vt:lpstr>rankedChoice</vt:lpstr>
      <vt:lpstr>rankedClassification</vt:lpstr>
      <vt:lpstr>rankedDistance</vt:lpstr>
      <vt:lpstr>rankedScore</vt:lpstr>
      <vt:lpstr>ranking</vt:lpstr>
      <vt:lpstr>resultsWorkbookCells</vt:lpstr>
      <vt:lpstr>revision</vt:lpstr>
      <vt:lpstr>scores</vt:lpstr>
      <vt:lpstr>Showers</vt:lpstr>
      <vt:lpstr>skillDelta</vt:lpstr>
      <vt:lpstr>skillLevel</vt:lpstr>
      <vt:lpstr>sortActivities</vt:lpstr>
      <vt:lpstr>staffCampNames</vt:lpstr>
      <vt:lpstr>staffCampProgramAvailability</vt:lpstr>
      <vt:lpstr>Staffed</vt:lpstr>
      <vt:lpstr>startEndInfo</vt:lpstr>
      <vt:lpstr>startingTA</vt:lpstr>
      <vt:lpstr>statisticOptions</vt:lpstr>
      <vt:lpstr>tActivity</vt:lpstr>
      <vt:lpstr>tAltDaily</vt:lpstr>
      <vt:lpstr>tAltGain</vt:lpstr>
      <vt:lpstr>tAltMax</vt:lpstr>
      <vt:lpstr>tArea</vt:lpstr>
      <vt:lpstr>tCountry</vt:lpstr>
      <vt:lpstr>tDaysFood</vt:lpstr>
      <vt:lpstr>tDaysFoodHQ</vt:lpstr>
      <vt:lpstr>tDifficulty</vt:lpstr>
      <vt:lpstr>tDry</vt:lpstr>
      <vt:lpstr>tHikeOut</vt:lpstr>
      <vt:lpstr>toothOfTimeHike</vt:lpstr>
      <vt:lpstr>topItineraries</vt:lpstr>
      <vt:lpstr>tradingPost</vt:lpstr>
      <vt:lpstr>Trail</vt:lpstr>
      <vt:lpstr>trailCamps</vt:lpstr>
      <vt:lpstr>trailPeakHike</vt:lpstr>
      <vt:lpstr>trekLabel</vt:lpstr>
      <vt:lpstr>trekYear</vt:lpstr>
      <vt:lpstr>tToothReturn</vt:lpstr>
      <vt:lpstr>tTrail</vt:lpstr>
      <vt:lpstr>us64Crossing</vt:lpstr>
      <vt:lpstr>viaTooth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Itinerary Selection Spreadsheet</dc:title>
  <dc:subject>Philmont Scout Ranch Itinerary Selection Tool</dc:subject>
  <dc:creator>Sid Covington</dc:creator>
  <dc:description>Tool to assist a crew matching the preferences of their crew to the itineraries offered at Philmont for the summer of attendance.</dc:description>
  <cp:lastModifiedBy>Sid Covington</cp:lastModifiedBy>
  <cp:lastPrinted>2024-12-28T21:26:15Z</cp:lastPrinted>
  <dcterms:created xsi:type="dcterms:W3CDTF">1996-12-08T20:56:52Z</dcterms:created>
  <dcterms:modified xsi:type="dcterms:W3CDTF">2025-01-07T22:22:10Z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lpwstr>2025_1-0</vt:lpwstr>
  </property>
  <property fmtid="{D5CDD505-2E9C-101B-9397-08002B2CF9AE}" pid="3" name="trekYear">
    <vt:lpwstr>2025</vt:lpwstr>
  </property>
  <property fmtid="{D5CDD505-2E9C-101B-9397-08002B2CF9AE}" pid="4" name="nDays">
    <vt:i4>9</vt:i4>
  </property>
  <property fmtid="{D5CDD505-2E9C-101B-9397-08002B2CF9AE}" pid="5" name="nItineraries">
    <vt:i4>12</vt:i4>
  </property>
  <property fmtid="{D5CDD505-2E9C-101B-9397-08002B2CF9AE}" pid="6" name="itineraryNoPrefix">
    <vt:lpwstr>9-</vt:lpwstr>
  </property>
</Properties>
</file>